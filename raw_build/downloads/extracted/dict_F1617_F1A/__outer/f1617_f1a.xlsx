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35" windowWidth="17055" windowHeight="10770"/>
  </bookViews>
  <sheets>
    <sheet name="Introduction" sheetId="6" r:id="rId1"/>
    <sheet name="varlist" sheetId="1" r:id="rId2"/>
    <sheet name="Description" sheetId="2" r:id="rId3"/>
    <sheet name="Frequencies" sheetId="3" r:id="rId4"/>
    <sheet name="Statistics" sheetId="4" r:id="rId5"/>
    <sheet name="FrequenciesRV" sheetId="7" r:id="rId6"/>
    <sheet name="StatisticsRV" sheetId="8" r:id="rId7"/>
    <sheet name="imputation values" sheetId="5" r:id="rId8"/>
  </sheets>
  <definedNames>
    <definedName name="Description">Description!$A$1:$C$112</definedName>
    <definedName name="Frequencies">Frequencies!$A$1:$F$6</definedName>
    <definedName name="FrequenciesRV">FrequenciesRV!$A$1:$F$6</definedName>
    <definedName name="Statistics">Statistics!$A$1:$H$109</definedName>
    <definedName name="StatisticsRV">StatisticsRV!$A$1:$H$109</definedName>
    <definedName name="varlist">varlist!$A$1:$G$112</definedName>
  </definedNames>
  <calcPr calcId="145621"/>
</workbook>
</file>

<file path=xl/calcChain.xml><?xml version="1.0" encoding="utf-8"?>
<calcChain xmlns="http://schemas.openxmlformats.org/spreadsheetml/2006/main">
  <c r="F4" i="4" l="1"/>
</calcChain>
</file>

<file path=xl/sharedStrings.xml><?xml version="1.0" encoding="utf-8"?>
<sst xmlns="http://schemas.openxmlformats.org/spreadsheetml/2006/main" count="1334" uniqueCount="521">
  <si>
    <t>Filename</t>
  </si>
  <si>
    <t>Overview</t>
  </si>
  <si>
    <t>Note:</t>
  </si>
  <si>
    <t xml:space="preserve">Preliminary release data have been edited but are subject to further NCES quality control procedures. Imputed data for nonresponding institutions are not included. These data are used for First Look (Preliminary Data) publications. Provisional release data have undergone all NCES data quality control procedures. Data are imputed for nonresponding institutions. These data are used for First Look (Provisional Data) publications.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reports based on preliminary and provisional data. </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</si>
  <si>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</si>
  <si>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</si>
  <si>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</si>
  <si>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</si>
  <si>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</si>
  <si>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Statistics</t>
  </si>
  <si>
    <t>Imputation code values</t>
  </si>
  <si>
    <t>varnumber</t>
  </si>
  <si>
    <t>varname</t>
  </si>
  <si>
    <t>DataType</t>
  </si>
  <si>
    <t>Fieldwidth</t>
  </si>
  <si>
    <t>format</t>
  </si>
  <si>
    <t>imputationvar</t>
  </si>
  <si>
    <t>varTitle</t>
  </si>
  <si>
    <t>UNITID</t>
  </si>
  <si>
    <t>N</t>
  </si>
  <si>
    <t>Cont</t>
  </si>
  <si>
    <t>Unique identification number of the institution</t>
  </si>
  <si>
    <t>F1A01</t>
  </si>
  <si>
    <t>XF1A01</t>
  </si>
  <si>
    <t>Total current assets</t>
  </si>
  <si>
    <t>F1A31</t>
  </si>
  <si>
    <t>XF1A31</t>
  </si>
  <si>
    <t>Depreciable capital assets, net of depreciation</t>
  </si>
  <si>
    <t>F1A04</t>
  </si>
  <si>
    <t>XF1A04</t>
  </si>
  <si>
    <t>Other noncurrent assets</t>
  </si>
  <si>
    <t>F1A05</t>
  </si>
  <si>
    <t>XF1A05</t>
  </si>
  <si>
    <t>Total noncurrent assets</t>
  </si>
  <si>
    <t>F1A06</t>
  </si>
  <si>
    <t>XF1A06</t>
  </si>
  <si>
    <t>Total assets</t>
  </si>
  <si>
    <t>F1A07</t>
  </si>
  <si>
    <t>XF1A07</t>
  </si>
  <si>
    <t>Long-term debt, current portion</t>
  </si>
  <si>
    <t>F1A08</t>
  </si>
  <si>
    <t>XF1A08</t>
  </si>
  <si>
    <t>Other current liabilities</t>
  </si>
  <si>
    <t>F1A09</t>
  </si>
  <si>
    <t>XF1A09</t>
  </si>
  <si>
    <t>Total current liabilities</t>
  </si>
  <si>
    <t>F1A10</t>
  </si>
  <si>
    <t>XF1A10</t>
  </si>
  <si>
    <t>Long-term debt</t>
  </si>
  <si>
    <t>F1A11</t>
  </si>
  <si>
    <t>XF1A11</t>
  </si>
  <si>
    <t>Other noncurrent liabilities</t>
  </si>
  <si>
    <t>F1A12</t>
  </si>
  <si>
    <t>XF1A12</t>
  </si>
  <si>
    <t>Total noncurrent liabilities</t>
  </si>
  <si>
    <t>F1A13</t>
  </si>
  <si>
    <t>XF1A13</t>
  </si>
  <si>
    <t>Total liabilities</t>
  </si>
  <si>
    <t>F1A14</t>
  </si>
  <si>
    <t>XF1A14</t>
  </si>
  <si>
    <t>Invested in capital assets, net of related debt</t>
  </si>
  <si>
    <t>F1A15</t>
  </si>
  <si>
    <t>XF1A15</t>
  </si>
  <si>
    <t>Restricted-expendable</t>
  </si>
  <si>
    <t>F1A16</t>
  </si>
  <si>
    <t>XF1A16</t>
  </si>
  <si>
    <t>Restricted-nonexpendable</t>
  </si>
  <si>
    <t>F1A17</t>
  </si>
  <si>
    <t>XF1A17</t>
  </si>
  <si>
    <t>Unrestricted</t>
  </si>
  <si>
    <t>F1A18</t>
  </si>
  <si>
    <t>XF1A18</t>
  </si>
  <si>
    <t>F1A214</t>
  </si>
  <si>
    <t>XF1A214</t>
  </si>
  <si>
    <t>Land  improvements - Ending balance</t>
  </si>
  <si>
    <t>F1A224</t>
  </si>
  <si>
    <t>XF1A224</t>
  </si>
  <si>
    <t>Infrastructure - Ending balance</t>
  </si>
  <si>
    <t>F1A234</t>
  </si>
  <si>
    <t>XF1A234</t>
  </si>
  <si>
    <t>Buildings - Ending balance</t>
  </si>
  <si>
    <t>F1A324</t>
  </si>
  <si>
    <t>XF1A324</t>
  </si>
  <si>
    <t>Equipment, including art and library collections - Ending balance</t>
  </si>
  <si>
    <t>F1A274</t>
  </si>
  <si>
    <t>XF1A274</t>
  </si>
  <si>
    <t>Construction in progress - Ending balance</t>
  </si>
  <si>
    <t>F1A27T4</t>
  </si>
  <si>
    <t>XF1A27T4</t>
  </si>
  <si>
    <t>Total for plant, property and equipment - Ending balance</t>
  </si>
  <si>
    <t>F1A284</t>
  </si>
  <si>
    <t>XF1A284</t>
  </si>
  <si>
    <t>Accumulated depreciation - Ending balance</t>
  </si>
  <si>
    <t>F1A334</t>
  </si>
  <si>
    <t>XF1A334</t>
  </si>
  <si>
    <t>Intangible assets , net of accumulated amortization - Ending balance</t>
  </si>
  <si>
    <t>F1A344</t>
  </si>
  <si>
    <t>XF1A344</t>
  </si>
  <si>
    <t>Other capital assets - Ending balance (New Aligned)</t>
  </si>
  <si>
    <t>F1B01</t>
  </si>
  <si>
    <t>XF1B01</t>
  </si>
  <si>
    <t>Tuition and fees, after deducting discounts and allowances</t>
  </si>
  <si>
    <t>F1B02</t>
  </si>
  <si>
    <t>XF1B02</t>
  </si>
  <si>
    <t>Federal operating grants and contracts</t>
  </si>
  <si>
    <t>F1B03</t>
  </si>
  <si>
    <t>XF1B03</t>
  </si>
  <si>
    <t>State operating grants and contracts</t>
  </si>
  <si>
    <t>F1B04</t>
  </si>
  <si>
    <t>XF1B04</t>
  </si>
  <si>
    <t>Local/private operating grants and contracts</t>
  </si>
  <si>
    <t>F1B04A</t>
  </si>
  <si>
    <t>XF1B04A</t>
  </si>
  <si>
    <t>Local operating grants and contracts</t>
  </si>
  <si>
    <t>F1B04B</t>
  </si>
  <si>
    <t>XF1B04B</t>
  </si>
  <si>
    <t>Private operating grants and contracts</t>
  </si>
  <si>
    <t>F1B05</t>
  </si>
  <si>
    <t>XF1B05</t>
  </si>
  <si>
    <t>Sales and services of auxiliary enterprises</t>
  </si>
  <si>
    <t>F1B06</t>
  </si>
  <si>
    <t>XF1B06</t>
  </si>
  <si>
    <t>Sales and services of hospitals</t>
  </si>
  <si>
    <t>F1B26</t>
  </si>
  <si>
    <t>XF1B26</t>
  </si>
  <si>
    <t>Sales and services of educational activities</t>
  </si>
  <si>
    <t>F1B07</t>
  </si>
  <si>
    <t>XF1B07</t>
  </si>
  <si>
    <t>Independent operations</t>
  </si>
  <si>
    <t>F1B08</t>
  </si>
  <si>
    <t>XF1B08</t>
  </si>
  <si>
    <t>Other sources - operating</t>
  </si>
  <si>
    <t>F1B09</t>
  </si>
  <si>
    <t>XF1B09</t>
  </si>
  <si>
    <t>Total operating revenues</t>
  </si>
  <si>
    <t>F1B10</t>
  </si>
  <si>
    <t>XF1B10</t>
  </si>
  <si>
    <t>Federal appropriations</t>
  </si>
  <si>
    <t>F1B11</t>
  </si>
  <si>
    <t>XF1B11</t>
  </si>
  <si>
    <t>State appropriations</t>
  </si>
  <si>
    <t>F1B12</t>
  </si>
  <si>
    <t>XF1B12</t>
  </si>
  <si>
    <t>Local appropriations, education district taxes, and similar support</t>
  </si>
  <si>
    <t>F1B13</t>
  </si>
  <si>
    <t>XF1B13</t>
  </si>
  <si>
    <t>Federal nonoperating grants</t>
  </si>
  <si>
    <t>F1B14</t>
  </si>
  <si>
    <t>XF1B14</t>
  </si>
  <si>
    <t>State nonoperating grants</t>
  </si>
  <si>
    <t>F1B15</t>
  </si>
  <si>
    <t>XF1B15</t>
  </si>
  <si>
    <t>Local nonoperating grants</t>
  </si>
  <si>
    <t>F1B16</t>
  </si>
  <si>
    <t>XF1B16</t>
  </si>
  <si>
    <t>Gifts, including contributions from affiliated organizations</t>
  </si>
  <si>
    <t>F1B17</t>
  </si>
  <si>
    <t>XF1B17</t>
  </si>
  <si>
    <t>Investment income</t>
  </si>
  <si>
    <t>F1B18</t>
  </si>
  <si>
    <t>XF1B18</t>
  </si>
  <si>
    <t>Other nonoperating revenues</t>
  </si>
  <si>
    <t>F1B19</t>
  </si>
  <si>
    <t>XF1B19</t>
  </si>
  <si>
    <t>Total nonoperating revenues</t>
  </si>
  <si>
    <t>F1B27</t>
  </si>
  <si>
    <t>XF1B27</t>
  </si>
  <si>
    <t>Total operating and nonoperating revenues</t>
  </si>
  <si>
    <t>F1B20</t>
  </si>
  <si>
    <t>XF1B20</t>
  </si>
  <si>
    <t>Capital appropriations</t>
  </si>
  <si>
    <t>F1B21</t>
  </si>
  <si>
    <t>XF1B21</t>
  </si>
  <si>
    <t>Capital grants and gifts</t>
  </si>
  <si>
    <t>F1B22</t>
  </si>
  <si>
    <t>XF1B22</t>
  </si>
  <si>
    <t>Additions to permanent endowments</t>
  </si>
  <si>
    <t>F1B23</t>
  </si>
  <si>
    <t>XF1B23</t>
  </si>
  <si>
    <t>Other revenues and additions</t>
  </si>
  <si>
    <t>F1B24</t>
  </si>
  <si>
    <t>XF1B24</t>
  </si>
  <si>
    <t>Total other revenues and additions</t>
  </si>
  <si>
    <t>F1B25</t>
  </si>
  <si>
    <t>XF1B25</t>
  </si>
  <si>
    <t>Total all revenues and other additions</t>
  </si>
  <si>
    <t>F1C011</t>
  </si>
  <si>
    <t>XF1C011</t>
  </si>
  <si>
    <t>Instruction - Current year total</t>
  </si>
  <si>
    <t>F1C012</t>
  </si>
  <si>
    <t>XF1C012</t>
  </si>
  <si>
    <t>Instruction - Salaries and wages</t>
  </si>
  <si>
    <t>F1C021</t>
  </si>
  <si>
    <t>XF1C021</t>
  </si>
  <si>
    <t>Research - Current year total</t>
  </si>
  <si>
    <t>F1C022</t>
  </si>
  <si>
    <t>XF1C022</t>
  </si>
  <si>
    <t>Research - Salaries and wages</t>
  </si>
  <si>
    <t>F1C031</t>
  </si>
  <si>
    <t>XF1C031</t>
  </si>
  <si>
    <t>Public service - Current year total</t>
  </si>
  <si>
    <t>F1C032</t>
  </si>
  <si>
    <t>XF1C032</t>
  </si>
  <si>
    <t>Public service - Salaries and wages</t>
  </si>
  <si>
    <t>F1C051</t>
  </si>
  <si>
    <t>XF1C051</t>
  </si>
  <si>
    <t>Academic support - Current year total</t>
  </si>
  <si>
    <t>F1C052</t>
  </si>
  <si>
    <t>XF1C052</t>
  </si>
  <si>
    <t>Academic support - Salaries and wages</t>
  </si>
  <si>
    <t>F1C061</t>
  </si>
  <si>
    <t>XF1C061</t>
  </si>
  <si>
    <t>Student services - Current year total</t>
  </si>
  <si>
    <t>F1C062</t>
  </si>
  <si>
    <t>XF1C062</t>
  </si>
  <si>
    <t>Student services - Salaries and wages</t>
  </si>
  <si>
    <t>F1C071</t>
  </si>
  <si>
    <t>XF1C071</t>
  </si>
  <si>
    <t>Institutional support - Current year total</t>
  </si>
  <si>
    <t>F1C072</t>
  </si>
  <si>
    <t>XF1C072</t>
  </si>
  <si>
    <t>Institutional support - Salaries and wages</t>
  </si>
  <si>
    <t>F1C101</t>
  </si>
  <si>
    <t>XF1C101</t>
  </si>
  <si>
    <t>Scholarships and fellowships expenses -- Current year total</t>
  </si>
  <si>
    <t>F1C111</t>
  </si>
  <si>
    <t>XF1C111</t>
  </si>
  <si>
    <t>Auxiliary enterprises -- Current year total</t>
  </si>
  <si>
    <t>F1C112</t>
  </si>
  <si>
    <t>XF1C112</t>
  </si>
  <si>
    <t>Auxiliary enterprises -- Salaries and wages</t>
  </si>
  <si>
    <t>F1C121</t>
  </si>
  <si>
    <t>XF1C121</t>
  </si>
  <si>
    <t>Hospital services - Current year total</t>
  </si>
  <si>
    <t>F1C122</t>
  </si>
  <si>
    <t>XF1C122</t>
  </si>
  <si>
    <t>Hospital services - Salaries and wages</t>
  </si>
  <si>
    <t>F1C131</t>
  </si>
  <si>
    <t>XF1C131</t>
  </si>
  <si>
    <t>Independent operations - Current year total</t>
  </si>
  <si>
    <t>F1C132</t>
  </si>
  <si>
    <t>XF1C132</t>
  </si>
  <si>
    <t>Independent operations - Salaries and wages</t>
  </si>
  <si>
    <t>F1C141</t>
  </si>
  <si>
    <t>XF1C141</t>
  </si>
  <si>
    <t>Other expenses  deductions - Current year total</t>
  </si>
  <si>
    <t>F1C142</t>
  </si>
  <si>
    <t>XF1C142</t>
  </si>
  <si>
    <t>Other expenses  deductions - Salaries and wages</t>
  </si>
  <si>
    <t>F1C191</t>
  </si>
  <si>
    <t>XF1C191</t>
  </si>
  <si>
    <t>F1C192</t>
  </si>
  <si>
    <t>XF1C192</t>
  </si>
  <si>
    <t>F1C193</t>
  </si>
  <si>
    <t>XF1C193</t>
  </si>
  <si>
    <t>Total expenses deductions - Interest</t>
  </si>
  <si>
    <t>F1D01</t>
  </si>
  <si>
    <t>XF1D01</t>
  </si>
  <si>
    <t>Total revenues and other additions</t>
  </si>
  <si>
    <t>F1D02</t>
  </si>
  <si>
    <t>XF1D02</t>
  </si>
  <si>
    <t>Total expenses and other deductions</t>
  </si>
  <si>
    <t>F1D03</t>
  </si>
  <si>
    <t>XF1D03</t>
  </si>
  <si>
    <t>Change in net position during the year</t>
  </si>
  <si>
    <t>F1D04</t>
  </si>
  <si>
    <t>XF1D04</t>
  </si>
  <si>
    <t>Net position beginning of year</t>
  </si>
  <si>
    <t>F1D05</t>
  </si>
  <si>
    <t>XF1D05</t>
  </si>
  <si>
    <t>Adjustments to beginning net position</t>
  </si>
  <si>
    <t>F1D06</t>
  </si>
  <si>
    <t>XF1D06</t>
  </si>
  <si>
    <t>Net position end of year</t>
  </si>
  <si>
    <t>F1E01</t>
  </si>
  <si>
    <t>XF1E01</t>
  </si>
  <si>
    <t>Pell grants (federal)</t>
  </si>
  <si>
    <t>F1E02</t>
  </si>
  <si>
    <t>XF1E02</t>
  </si>
  <si>
    <t>Other federal grants</t>
  </si>
  <si>
    <t>F1E03</t>
  </si>
  <si>
    <t>XF1E03</t>
  </si>
  <si>
    <t>Grants by state government</t>
  </si>
  <si>
    <t>F1E04</t>
  </si>
  <si>
    <t>XF1E04</t>
  </si>
  <si>
    <t>Grants by local government</t>
  </si>
  <si>
    <t>F1E05</t>
  </si>
  <si>
    <t>XF1E05</t>
  </si>
  <si>
    <t>Institutional grants from restricted resources</t>
  </si>
  <si>
    <t>F1E06</t>
  </si>
  <si>
    <t>XF1E06</t>
  </si>
  <si>
    <t>Institutional grants from unrestricted resources</t>
  </si>
  <si>
    <t>F1E07</t>
  </si>
  <si>
    <t>XF1E07</t>
  </si>
  <si>
    <t>Total gross scholarships and fellowships</t>
  </si>
  <si>
    <t>F1E08</t>
  </si>
  <si>
    <t>XF1E08</t>
  </si>
  <si>
    <t>Discounts and allowances applied to tuition and fees</t>
  </si>
  <si>
    <t>F1E09</t>
  </si>
  <si>
    <t>XF1E09</t>
  </si>
  <si>
    <t>Discounts and allowances applied to sales &amp; services of auxiliary enterprises</t>
  </si>
  <si>
    <t>F1E10</t>
  </si>
  <si>
    <t>XF1E10</t>
  </si>
  <si>
    <t>Total discounts and allowances</t>
  </si>
  <si>
    <t>F1E11</t>
  </si>
  <si>
    <t>XF1E11</t>
  </si>
  <si>
    <t>Net scholarships and fellowship expenses</t>
  </si>
  <si>
    <t>F1FHA</t>
  </si>
  <si>
    <t>Disc</t>
  </si>
  <si>
    <t>F1H01</t>
  </si>
  <si>
    <t>XF1H01</t>
  </si>
  <si>
    <t>Value of endowment assets at the beginning of the fiscal year</t>
  </si>
  <si>
    <t>F1H02</t>
  </si>
  <si>
    <t>XF1H02</t>
  </si>
  <si>
    <t>Value of endowment assets at the end of the fiscal year</t>
  </si>
  <si>
    <t>longDescription</t>
  </si>
  <si>
    <t>Total assets is the sum of current and noncurrent assets</t>
  </si>
  <si>
    <t>Total liabilities is the sum of current and noncurrent liabilities</t>
  </si>
  <si>
    <t>Ending balance of infrastructure is the book value at the end of the fiscal year for capital assets consisting of roads, bridges, drainage systems, water and sewer systems, and other similar assets. Infrastructure assets usually have longer useful lives than other capital assets such as buildings</t>
  </si>
  <si>
    <t>Equipment, including art and library collections are captital assets that include moveable tangible property such as research equipment, vehicles, office equipment, library collections (capitalized amount of books, films, tapes, and other materials maintained in library collections intended for use by patrons), and capitalized art collections.</t>
  </si>
  <si>
    <t>Ending balance of construction in progress is the book value of assets that were under construction or development that have not yet been placed into service, such as a building or parking lot, as of the end of the fiscal year.</t>
  </si>
  <si>
    <t>Intangible assets, net of accumulated amortization are all capital assets consisting of certain nonmaterial rights and benefits of an institution, such as patents, copyrights, trademarks and goodwill. This amount should be reduced by total accumulated amortization.</t>
  </si>
  <si>
    <t>Local operating grants and contracts are revenues from local governmental agencies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</si>
  <si>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Private operating grants and contracts are revenues from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</si>
  <si>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Sales and services of educational activities (revenues)  are revenues from the sales of goods or services that are incidental to the conduct of instruction, research or public service. Examples include film rentals, sales of scientific and literary publications, testing services, university presses, dairy products, machine shop products, data processing services, cosmetology services, and sales of handcrafts prepared in classes.</t>
  </si>
  <si>
    <t>Federal non-operating grants are amounts reported as nonoperating revenues from federal government agencies that are provided on a non-exchange basis.Pell grants are included here, however, revenues from the Federal Direct Student Loan Program are not. Capital grants and gifts are also not included here.</t>
  </si>
  <si>
    <t>State non-operating grants are amounts reported as non-operating revenues from state governmental agencies that are provided on a non-exchange basis. This excludes capital grants and gifts.</t>
  </si>
  <si>
    <t>Local non-operating grants are amounts reported as non-operating revenues from local governmental agencies that are provided on a non-exchange basis. This excludes capital grants and gifts.</t>
  </si>
  <si>
    <t>Gifts, including contributions from affiliated organizations are revenues from private donors for which no legal consideration is provided. It includes all gifts or contributions to the institution except those classified as additions to permanent endowments or capital grants and gifts.</t>
  </si>
  <si>
    <t>Revenues derived from the institution's investments, including investments of endowment funds. Such income may take the form of interest income, dividend income, rental income or royalty income and includes both realized and unrealized gains and losses.</t>
  </si>
  <si>
    <t>Independent operations - Expenses associated with operations that are independent of or unrelated to the primary missions of the institution (i.e., instruction, research, public service) although they may contribute indirectly to the enhancement of these programs. This category is generally limited to expenses of a major federally funded research and development center. Also included are information technology expenses, actual or allocated costs for operation and maintenance of plant, and depreciation related to the independent operations. FASB institutions also charge or allocate interest expense to independent operations. Excluded are expenses of operations owned and managed as investments of the institution's endowment funds.</t>
  </si>
  <si>
    <t>codevalue</t>
  </si>
  <si>
    <t>valuelabel</t>
  </si>
  <si>
    <t>frequency</t>
  </si>
  <si>
    <t>percent</t>
  </si>
  <si>
    <t>1</t>
  </si>
  <si>
    <t>Yes - (report endowment assets)</t>
  </si>
  <si>
    <t>2</t>
  </si>
  <si>
    <t>No</t>
  </si>
  <si>
    <t>-2</t>
  </si>
  <si>
    <t>n</t>
  </si>
  <si>
    <t>sum</t>
  </si>
  <si>
    <t>mean</t>
  </si>
  <si>
    <t>min</t>
  </si>
  <si>
    <t>max</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</si>
  <si>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</si>
  <si>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</si>
  <si>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</si>
  <si>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</si>
  <si>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</si>
  <si>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</si>
  <si>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</si>
  <si>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</si>
  <si>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</si>
  <si>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</si>
  <si>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</si>
  <si>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</si>
  <si>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</si>
  <si>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</si>
  <si>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</si>
  <si>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</si>
  <si>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</si>
  <si>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</si>
  <si>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</si>
  <si>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</si>
  <si>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</si>
  <si>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</si>
  <si>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</si>
  <si>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</si>
  <si>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</si>
  <si>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</si>
  <si>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</si>
  <si>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</si>
  <si>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This worksheet lists the code values for all imputation flag variables.</t>
  </si>
  <si>
    <t>Ending balance of buildings is the book value at the end of the fiscal  year for capital assets built or acquired for occupancy and use by the entity. These are structures such as classrooms, research facilities, administrative offices, storage, etc. Includes built-in fixtures and equipment that are        
essentially part of the permanent structure. Buildings held for the production of revenue are not included here</t>
  </si>
  <si>
    <t>Ending balance for plant, property and equipment is the book value at the end of the fiscal year of total assets for plant, property and equipment. Plant, property and equipment include: land and land improvements, infrastucture, buildings, equipment, art and library collections, property obtained under capital leases and construction in progress.
Land and land improvements is the book value at the end of the fiscal year for capital assets consisting of land and improvements such as athletic fields, golf courses, lakes, etc. Land is nondepreciable; some land improvements are depreciable assets and some are nondepreciable.
Infrastructure is the book value at the end of the  fiscal year for capital assets consisting of roads, bridges, drainage systems,  water and sewer systems, and other similar assets. Infrastructure assets usually have longer useful lives than other capital assets such as buildings.
Buildings is the book value at the end of the fiscal year for capital assets built or acquired for occupancy and use by the entity.  These are structures such as classrooms, research facilities, administrative  offices, storage, etc. Includes built-in fixtures and equipment that are essentially part of the permanent structure. Buildings held for the production of revenue are not included here.
Equipment, including art and library collections are captital assets that include moveable tangible property such as research equipment, vehicles, office equipment, library collections (capitalized amount of books, films, tapes, and other materials maintained in library collections intended for use by patrons), and capitalized art collections.
Construction in progress is the book value of assets that were under construction or development that have not yet been placed into service, such as a building or parking lot, as of the end of the fiscal year.</t>
  </si>
  <si>
    <t>Ending balance of accumulated depreciation is total depreciation charged as     
expenses to date (in the current year and in prior years) on the capital        
assets of the institution</t>
  </si>
  <si>
    <t>Depreciable capital assets, net of depreciation is the net amount of all depreciable capital assets after reducing the gross amount for accumulated depreciation.  Capital assets include improvements to land, easements, buildings, building improvements, vehicles, machinery, equipment, infrastructure, and all other tangible or intangible depreciable assets that are used in operations and that have initial useful lives extending beyond a single reporting 
Capital assets - Tangible or intangible assets that are capitalized under an institution's capitalization policy; some of these assets are subject to depreciation and some are not. These assets consist of land and land improvements, buildings, building improvements, machinery, equipment, infrastructure, and all other assets that are used in operations and that have initial useful lives extending beyond one year. Also includes collections of works of art and historical treasure and library collections; however under certain conditions such collections may not be capitalized. Includes property acquired under capital leases and intangible assets such as patents, copyrights, trademarks, goodwill, and software. Excluded are assets that are part of endowment funds or other capital fund investments in real estate period.</t>
  </si>
  <si>
    <t>State operating grants and contracts are revenues from state government         
agencies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</si>
  <si>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Research - total expenses is the sum of all operating expenses associated       
with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t>
  </si>
  <si>
    <t>Research - salaries and wages are amounts paid as compensation for services     
to all employees - faculty, staff, part time, full time, regular employees,     
and student employees of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t>
  </si>
  <si>
    <t>Public service - total expenses is the sum of all operating expenses associated 
with activities established primarily to provide noninstructional services      
beneficial to individuals and groups external to the institution. Examples are  
conferences, institutes, general advisory services, reference bureaus, and      
similar services provided to particular sectors of the community. This function 
includes expenses for community services, cooperative extension services, and   
public broadcasting services.</t>
  </si>
  <si>
    <t>Public service - salaries and wages are amounts paid as compensation for        
services to all employees - faculty, staff, part time, full time, regular       
employees, and student employees of activities established primarily to provide 
noninstructional services beneficial to individuals and groups external to the  
institution. Examples are conferences, institutes, general advisory services,   
reference bureaus, and similar services provided to particular sectors of the   
community. This function includes expenses for community services, cooperative  
extension services, and public broadcasting services.</t>
  </si>
  <si>
    <t>Academic support - total expenses is the sum of all operating expenses          
associated with activities and services that support the institution's primary  
missions of instruction, research, and public service.</t>
  </si>
  <si>
    <t>Academic support - salaries and wages are amounts paid as compensation for      
services to all employees - faculty, staff, part time, full time, regular       
employees, and student employees of activities and services that support the    
institution's primary missions of instruction, research, and public service.</t>
  </si>
  <si>
    <t>Student services - total expenses is the sum of all operating expenses          
associated with admissions, registrar activities, and activities whose primary  
purpose is to contribute to students' emotional and physical well-being and to  
their intellectual, cultural, and social development outside the context of the 
formal instructional program. Examples include student activities, cultural     
events, student newspapers, intramural athletics, student organizations,        
supplemental instruction outside the normal academic program (remedial          
instruction for example), career guidance, counseling, financial aid administration, and student records.</t>
  </si>
  <si>
    <t>Student services - salaries and wages are amounts paid as compensation for      
services to all employees - faculty, staff, part time, full time, regular       
employees, and student employees of admissions, registrar activities, and       
activities whose primary purpose is to contribute to students' emotional and    
physical well-being and to their intellectual, cultural, and social development 
outside the context of the formal instructional program. Examples include       
student activities, cultural events, student newspapers, intramural athletics,  
student organizations, supplemental instruction outside the normal academic program (remedial instruction for example), career guidance, counseling, financial aid administration, and student records.</t>
  </si>
  <si>
    <t>Institutional support - total expenses is the sum of all operating expenses     
associated with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t>
  </si>
  <si>
    <t>Institutional support - salaries and wages are amounts paid as compensation for 
services to all employees - faculty, staff, part time, full time, regular       
employees, and student employees of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t>
  </si>
  <si>
    <t>Scholarships and fellowships - total expenses is the sum of all operating       
expenses associated with scholarships and fellowships treated as expenses       
because the institution incurs an incremental expense in the provision of a     
good or service. Thus, payments, made to students or third parties in support   
of the total cost of education are expenses if those payments are made for      
goods and services not provided by the institution. Examples include payments   
for services to third parties (including students) for off-campus housing or    
for the cost of board provided by institutional contract meal plans. The amount of expense in this function is the total of all institutional scholarships reduced by the amount that is classified as discounts and allowances.</t>
  </si>
  <si>
    <t>Auxiliary enterprises - total expenses is the sum of all operating expenses     
associated with essentially self-supporting operations of the institution that  
exist to furnish a service to students, faculty, or staff, and that charge a    
fee that is directly related to, although not necessarily equal to, the cost    
of the service. Examples are residence halls, food services, student health     
services, intercollegiate athletics (only if essentially self-supporting),      
college unions, college stores, faculty and staff parking, and faculty housing.</t>
  </si>
  <si>
    <t>Auxiliary enterprises - salaries and wages are amounts paid as compensation for 
services to all employees - faculty, staff, part time, full time, regular       
employees, and student employees of essentially self-supporting operations of   
the institution that exist to furnish a service to students, faculty, or staff, 
and that charge a fee that is directly related to, although not necessarily     
equal to, the cost of the service. Examples are residence halls, food services, 
student health services, intercollegiate athletics (only if essentially self-   
supporting), college unions, college stores, faculty and staff parking, and faculty housing.</t>
  </si>
  <si>
    <t>Hospital services - total expenses is the sum of all operating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t>
  </si>
  <si>
    <t>Hospital services - salaries and wages are amounts paid as compensation for     
services to all employees - faculty, staff, part time, full time, regular       
employees, and student employees of a hospital operated by the postsecondary    
institution (but not as a component unit) and reported as a part of the         
institution. This classification includes nursing expenses, other professional  
services, general services, administrative services, and fiscal services.</t>
  </si>
  <si>
    <t>Independent operations - salaries and wages are amounts paid as compensation    
for services to all employees - faculty, staff, part time, full time, regular   
employees, and student employees of operations that are independent of or       
unrelated to the primary missions of the institution (i.e., instruction,        
research, public service) although they may contribute indirectly to the        
enhancement of these programs. This category is generally limited to expenses   
of a major federally funded research and development center.</t>
  </si>
  <si>
    <t>Other expenses and deductions - total expenses is the sum of all operating      
expenses associated with functions other than those listed previously, i.e.,    
instruction, research, public service, academic support, student services,      
institutional support, operations and maintenance of plant, depreciation,       
scholarships and fellowships, auxiliary enterprises, hospitals, and independent 
operations.</t>
  </si>
  <si>
    <t>Other expenses and deductions - salaries and wages are amounts paid as          
compensation for services to all employees - faculty, staff, part time, full    
time, regular employees, and student employees associated with functions other  
than those listed previously, i.e., instruction, research, public service,      
academic support, student services, institutional support, operations and       
maintenance of plant, depreciation, scholarships and fellowships, auxiliary     
enterprises, hospitals, and independent operations.</t>
  </si>
  <si>
    <t>Total expenses and deductions - total expense is the sum of operating and non-  
operating expenses and deductions.</t>
  </si>
  <si>
    <t>Net position beginning of year is the value of net position as of the beginning of  
the fiscal year</t>
  </si>
  <si>
    <t>Pell grants represents the gross amount of Pell grants disbursed or otherwise   
made available to recipients by the institution.</t>
  </si>
  <si>
    <t>Other federal awards are expenditures for scholarships and fellowships,         
excluding Pell grants, that were funded from federal government agencies.  This 
includes Supplemental Educational Opportunity Grants (SEOG), and the Leveraging Educational Assistance Partnership (LEAP) Program, but not loans or College Work Study Program.</t>
  </si>
  <si>
    <t>Grants by state government includes expenditures for scholarships and           
fellowships that were funded by the state such as the state share of SSIG.</t>
  </si>
  <si>
    <t>Grants by local government are for scholarships and fellowships that were       
funded by local government.</t>
  </si>
  <si>
    <t>Institutional grants from restricted sources are expenditures for scholarships  
and fellowships received from private sources (e.g., businesses, foundations,   
individuals, foreign governments) that used restricted-expendable net assets    
of the institution.</t>
  </si>
  <si>
    <t>Institutional grants from unrestricted sources are expenditures for             
scholarships and fellowships from unrestricted net assets of the institution.   
The institutional matching portion of federal, state, or local grants is        
reported here.  Athletic scholarships are also included here.</t>
  </si>
  <si>
    <t>Total gross scholarships and fellowships is the total amount of all             
scholarships and fellowships without considering how much was ultimately        
reported as scholarships and fellowships expenses or discounts and allowances.</t>
  </si>
  <si>
    <t>Discounts and allowances applied to tuition and fees are reductions to the      
amount charged for tuition and fees by the application of scholarships and      
fellowships.  This amount is equal to the amount of scholarships applied to     
tuition and fees.</t>
  </si>
  <si>
    <t>Net scholarships and fellowship expenses after deducting discounts and allowances is    
the amount reported as scholarships and fellowships expense by the institution.</t>
  </si>
  <si>
    <t>Does this institution or any of its foundations or other affiliated organizations own endowment assets ?
ENDOWMENT ASSETS - Consists of gross investments of endowment funds, term endowment funds, and funds functioning as endowment for the institution and any of its foundations and other affiliated organizations.</t>
  </si>
  <si>
    <t>Value of endowment assets at the end of the fiscal year  
Consists of gross investments of endowment funds, term endowment funds, and funds functioning as endowment for the institution and any of its foundations and other affiliated organizations.</t>
  </si>
  <si>
    <t>F1MHP</t>
  </si>
  <si>
    <t>F1M01</t>
  </si>
  <si>
    <t>XF1M01</t>
  </si>
  <si>
    <t>F1M02</t>
  </si>
  <si>
    <t>XF1M02</t>
  </si>
  <si>
    <t>F1M03</t>
  </si>
  <si>
    <t>XF1M03</t>
  </si>
  <si>
    <t>Deferred inflows of resources for pension</t>
  </si>
  <si>
    <t>F1M04</t>
  </si>
  <si>
    <t>XF1M04</t>
  </si>
  <si>
    <t>Deferred outflows of resources for pension</t>
  </si>
  <si>
    <t>Did your institution recognize additional (or decreased) pension expense, additional liability (or assets), or additional deferral related to the implementation of GASB Statement 68 for one or more defined benefit pension plans (either as a single employer, agent employer or cost-sharing multiple employer)?
This variable indicate whether or not the institution recognized additional (or decreased) pension expense, liability (or assets), and/or deferral related to the implementation of GASB Statement 68 for reporting Fiscal Year . 
If institution fits any of the following criteria, there is no direct GASB 68 impact and institution should respond “No”:
-If public institution does not have a defined pension benefit plan
-If public institution is part of a higher education system and the system reflects the additional unfunded pension expense and liability (and does not allocate the expense and liability to the individual institutions)
-If institution is a branch campus that did not have pension expense and liabilities allocated to it
-If institution is part of a special funding situation and additional unfunded pension expense, liability, or deferral are reported elsewhere
For more information about GASB Statement 68 "Accounting and Financial Reporting for Pensions – an Amendment of GASB Statement No. 27," please visit http://www.gasb.org/jsp/GASB/Page/GASBSectionPage&amp;cid=1176163527940.</t>
  </si>
  <si>
    <t>Includes any pension expense that is recognized in  “Statement of Revenues, Expenses, and Changes in Net Position” as a result of the implementation of GASB Statement 68. Decreases to pension expense that is recognized as a result of GASB 68, are indicated as a negative number. This may include additional (or decreased) pension expense that is related to unfunded pension liabilities of one or more defined benefit pension plan in which the institution participates.</t>
  </si>
  <si>
    <t>Includes any pension liability that was recognized in the “Statement of Net Position” as a result of the implementation of GASB Statement 68. This may include unfunded pension liabilities of one or more defined benefit pension plan in which the institution participates. If institution recognized additional pension asset as a result of GASB 68, the asset will be a negative value.</t>
  </si>
  <si>
    <t>Includes deferred inflows of resources that were recognized as a result of the implementation of GASB Statement 68.</t>
  </si>
  <si>
    <t>Includes deferred outflows of resources that were recognized as a result of the implementation of GASB Statement 68.</t>
  </si>
  <si>
    <t>Yes -  additional (unfunded) pension information reported</t>
  </si>
  <si>
    <t>F1A19</t>
  </si>
  <si>
    <t>XF1A19</t>
  </si>
  <si>
    <t>Deferred outflows of resources</t>
  </si>
  <si>
    <t>F1A20</t>
  </si>
  <si>
    <t>XF1A20</t>
  </si>
  <si>
    <t>Deferred inflows of resources</t>
  </si>
  <si>
    <t>Net position</t>
  </si>
  <si>
    <t>Total expenses and deductions - Current year total</t>
  </si>
  <si>
    <t>Total expenses  expenses and deductions - Salaries and wages</t>
  </si>
  <si>
    <t>Total expenses and deductions - Employee fringe benefits</t>
  </si>
  <si>
    <t>F1C19OM</t>
  </si>
  <si>
    <t>Total expenses and deductions - Operations and maintenance of plant</t>
  </si>
  <si>
    <t>F1C19DP</t>
  </si>
  <si>
    <t>Total expenses  and deductions - Depreciation</t>
  </si>
  <si>
    <t>F1C19IN</t>
  </si>
  <si>
    <t>F1C19OT</t>
  </si>
  <si>
    <t>Total expenses and deductions - Other Natural Expenses and Deductions</t>
  </si>
  <si>
    <t>Pension expense</t>
  </si>
  <si>
    <t>Net pension liability</t>
  </si>
  <si>
    <t>Net position is the excess of assets over liabilities or the residual interest in the institution's assets remaining after liabilities are deducted. The change in net position results from revenues, gains, expenses, and losses. GASB institutions classify net position into three categories: invested in capital, net of related debt; restricted (with separate displays of restricted-expendable and restricted-nonexpendable net assets); and unrestricted.  Net position beginning with the 2013-14 collection includes deferred inflows and outflows of resources, per GASB 63,65. This term is similar to the "Net assets" term used by FASB institutions.</t>
  </si>
  <si>
    <t>Salaries and wages - Amounts paid as compensation for services to all employees - faculty, staff, part-time, full-time,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t>
  </si>
  <si>
    <t>Fringe benefits	 - Cash contributions in the form of supplementary or deferred compensation other than salary. Excludes the employee's contribution. Employee fringe benefits include retirement plans, social security taxes, medical/dental plans, guaranteed disability income protection plans, tuition plans, housing plans, unemployment compensation plans, group life insurance plans, worker's compensation plans, and other benefits in-kind with cash options.</t>
  </si>
  <si>
    <t>Depreciation	 - The allocation or distribution of the cost of capital assets, less any salvage value, to expenses over the estimated useful life of the asset in a systematic and rational manner. Depreciation for the year is the amount of the allocation or distribution for the year involved.</t>
  </si>
  <si>
    <t>Interest	 - The price paid (or received) for the use of money over a period of time. Interest income is one component of investment income. Interest paid by the institution is interest expense</t>
  </si>
  <si>
    <t>Deferred outflows of resources - A consumption of net assets by a government that is applicable to future periods. Examples of deferred outflows of resources include changes in fair values in hedging instruments and changes in the net pension liability that are not considered pension expense (as described in GASB Statement 68, Accounting and Financial Reporting for Pensions: an amendment of GASB Statement No. 27).</t>
  </si>
  <si>
    <t>Deferred inflows of resources - Acquisition of net assets acquired by a government that is applicable to future reporting periods. Examples of deferred inflows are the difference in a debt refunding between reacquisition and net carrying amount of the old debt, upfront payments in service concession arrangements, and change in fair values in hedging instruments.</t>
  </si>
  <si>
    <t>XF1C19OM</t>
  </si>
  <si>
    <t>XF1C19DP</t>
  </si>
  <si>
    <t>XF1C19IN</t>
  </si>
  <si>
    <t>XF1C19OT</t>
  </si>
  <si>
    <t xml:space="preserve">This data file contains institutional finance data for public institutions that use accounting standards established by the Governmental Accounting Standards Board (GASB).  Finance data includes institutional revenues by source, expenditures by functional categories, expenditures by natural classification categories, endowments, and assets and liabilities. This information provides context for understanding the cost and resources of providing postsecondary education. It is used to calculate the contribution of postsecondary education to the gross national product.  Beginning with fiscal year 2016 detailed expenditures by function and the natural classifications of fringe benefits, operations and maintenance of plant, depreciation and interest are no longer available.
</t>
  </si>
  <si>
    <t>File documentation public institutions - GASB 34/35: Fiscal year 2017</t>
  </si>
  <si>
    <t>F1617_F1A</t>
  </si>
  <si>
    <t>Operations and maintenance - 	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
	FASB institutions are required to allocate O&amp;M costs to other functional categories (e.g., instruction, research, etc.) while GASB institutions can allocate O&amp;M costs OR report it as a separate functional category.  In an effort to align FASB and GASB O&amp;M expenses, from FY 2010 to FY 2015, O&amp;M was reported as both a functional and natural expense category in IPEDS, causing its total to be equal to zero. However, beginning with FY 2016, both FASB and GASB institutions are required to allocate O&amp;M to all the functions and report it as a natural expense category. 
Prior to fiscal year 2017 this variable would always be equal to zero. Like other natural classification categories OM was reported for all  expense functions (survey column 4) . Unlike other natural classification categories OM also appeared as a function (line 8). Institutions would report positive values of salaries and wages, benefits, depreciation, interest and other expenses on the OM (survey line 8).  However total OM line 8 column 1 was always zero and negative values were reported in the intersection of line 8 and column 4 to balance out the total of all expenses of OM distributed to the functional categories.  
For a better understanding of this, please visit the IPEDS survey form archive site for finance below:
http://nces.ed.gov/ipeds/InsidePages/ArchivedSurveyMaterials?section=Finance</t>
  </si>
  <si>
    <t>Total expenses and deductions - all other is the sum of operating and non-operating expenses not classified as salaries and wages, benefits, depreciation and interest. Prior to FY2017, this value included operation and maintenance of plant.</t>
  </si>
  <si>
    <t>Pension information reported  (GASB institutions)</t>
  </si>
  <si>
    <t>Does this institution or any of its foundations or other affiliated organizations own endowment assets (GASB institutions) ?</t>
  </si>
  <si>
    <t/>
  </si>
  <si>
    <t>Total current assets includes cash and equivalents, investments, accounts and notes receivable (net of allowance for uncollectible amounts), inventories, and all other assets classified as current assets as discussed in Chapter 2 of Accounting Research Bulletin 43. Beginning with FY2013, GASB statements 63,65 required institutions to display deferred inflows and outflows of resources on their Statement of Net Position. Thus from FY2014 to FY2016, current assets included deferred outflows of resources. Beginning with FY2016, deferred outflows of resources was collected separately from current assets.</t>
  </si>
  <si>
    <t>Other noncurrent assets those that are not reasonably expected to be realized   
in cash or sold or consumed during the next normal operating cycle (normally    
one year) of the institution other than depreciable capital assets included     
above.</t>
  </si>
  <si>
    <t>Total noncurrent assets are those not reasonably expected to be realized in     
cash or sold or consumed during the next normal operating cycle (normally one   
year) of the institution.</t>
  </si>
  <si>
    <t>Long-term debt, current portion is the amount of long-term debt that is         
expected to require current assets to pay or liquidate during the next year</t>
  </si>
  <si>
    <t>Other current liabilities are liabilities whose liquidation is reasonably       
expected to require the use of resources classified as current assets or the    
creation of other current liabilities within the next year and are not included 
in the category of long term debt, current portion</t>
  </si>
  <si>
    <t>Total current assets includes cash and equivalents, investments, accounts and notes receivable (net of allowance for uncollectible amounts), inventories, and all other assets classified as current assets as discussed in Chapter 2 of Accounting Research Bulletin 43. Beginning with FY2013, GASB statements 63,65 required institutions to display deferred inflows and outflows of resources on their Statement of Net Position. Thus from FY2013 to FY2015, current assets included deferred outflows of resources. Beginning with FY2016, deferred outflows of resources was collected separately from current assets.</t>
  </si>
  <si>
    <t>Long-term debt is Debt of the institution in the form of bonds, notes, capital  
leases, and other forms of debt that are repayable over a period greater than   
one year</t>
  </si>
  <si>
    <t>Other noncurrent liabilities are those whose liquidation is not reasonably      
expected to require the use of resources classified as current assets or the    
creation of other current liabilities within the next year, other than long     
term debt. This includes long-term accrued liabilities (such as for compensated 
absences, claims &amp; judgments, and post-employment/post-retirement benefits).</t>
  </si>
  <si>
    <t>Total noncurrent liabilities are liabilities whose liquidation is not           
reasonably expected to require the use of resources classified as current       
assets or the creation of other current liabilities within the next year. This  
includes the noncurrent portion of long-term debt and long-term accrued         
liabilities (such as for compensated absences, claims &amp; judgments, and post-    
employment/post-retirement benefits).</t>
  </si>
  <si>
    <t>Net assets invested in capital assets, net of related debt is represented by    
the total of all capital assets, reduced by accumulated depreciation, and       
reduced by the amount of outstanding bonds, mortgages, notes, or other          
borrowings that are attributable to the acquisition, construction, or           
improvement of those assets.</t>
  </si>
  <si>
    <t>Restricted-expendable net assets have constraints placed on use that are        
either (a) externally imposed by creditors, grantors, contributors, or laws and 
regulations of other governments or (b) imposed by law through constitutional   
provisions or enabling legislation, and are not required to be retained         
in perpetuity.</t>
  </si>
  <si>
    <t>Restricted-nonexpendable net assets have constraints placed on use that are     
either (a) externally imposed by creditors, grantors, contributors, or laws and 
regulations of other governments or (b) imposed by law through constitutional   
provisions or enabling legislation, and are required to be retained             
in perpetuity.</t>
  </si>
  <si>
    <t>Unrestricted net assets are net assets held by the institution upon which no    
restrictions have been placed by the donor or other party external to the       
institution</t>
  </si>
  <si>
    <t>Ending balance of land and land improvements is the book value at the end of the fiscal year for capital assets consisting of land and improvements such as athletic fields, golf courses, lakes, etc. Land is 
nondepreciable; some land improvements are depreciable assets and some are      
nondepreciable</t>
  </si>
  <si>
    <t>Other capital assets are all other amounts for capital assets not classified as
 - Land &amp; land improvements
 - Infrastructure 
 - Buildings 
 - Equipment
 - Construction in progress 
 - Accumulated depreciation 
 - Intangible assets, net of accumulated amortization</t>
  </si>
  <si>
    <t>Total revenues and other additions represents the sum of all revenues and       
other additions to net assets, including operating and nonoperating revenues    
and other revenues and additions.</t>
  </si>
  <si>
    <t>Total expenses and other deductions represents the sum of operating and non-    
operating expenses and deductions.</t>
  </si>
  <si>
    <t>Change in net position during year is the net difference between total revenues 
and other additions and total expenses and other deductions.</t>
  </si>
  <si>
    <t>Adjustments to beginning net posiiton are unusual and infrequent adjustments that 
are not recorded as current year revenues, expenses, gains, or losses. This     
includes adjustments for retroactive applications of changes in accounting      
principles and prior period adjustments. This line on the IPEDS survey is an    
automatic balancing line.</t>
  </si>
  <si>
    <t>Net position end of year is the sum of net assets invested in capital assts,      
net of related debt, restricted-expendable net assets, restricted-nonexpendable 
net assets, and unrestricted net assets.  It can be calculated as the           
difference between total assets and total liabilities.</t>
  </si>
  <si>
    <t>Tuition and fees are revenues from all tuition and fees assessed against        
students (net of refunds and discounts &amp; allowances) for educational purposes.  
If tuition or fees are remitted to the state as an offset to the state          
appropriation, the total of such tuition or fees should be deducted from the    
total state appropriation and added to the total for tuition and fees. If an    
all-inclusive charge is made for tuition, board, room, and other services, a    
reasonable distribution is made between revenues for tuition and fees and       
revenues for auxiliary enterprises. Tuition and fees excludes charges for room,board, and other services rendered by auxiliary enterprises.</t>
  </si>
  <si>
    <t>Federal operating grants and contracts are revenues from federal government     
agencies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</si>
  <si>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Local/private operating grants and contracts are revenues from local            
governmental and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</si>
  <si>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sales and services of auxiliary enterprises, after deducting discounts and      
allowances are revenues (net of discounts and allowances such as scholarships)  
generated by auxiliary enterprises that exist to furnish a service to students, 
faculty, or staff, and that charge a fee that is directly related to the        
cost of the service.  Examples are residence halls, food services, student      
health services, intercollegiate athletics, college unions, college stores,     
and movie theaters.</t>
  </si>
  <si>
    <t>Sales and services of hospitals, after deducting patient contractual            
allowances include operating revenues (net of patient contractual allowances)   
for a hospital operated by the institution and clinics associated with          
training.  It excludes clinics that are part of a student health services       
program that should be reported elsewhere.</t>
  </si>
  <si>
    <t>Independent operations include all operating revenues associated with           
operations independent of the primary missions of the institution.  This        
category generally includes only those revenues associated with major           
federally funded research and development centers.  It does not include         
net profit (or loss) from operations owned and managed as investments of the    
institution's endowment funds.</t>
  </si>
  <si>
    <t>Other sources - operating includes any other operating revenues that are not    
included in previously listed sources, namely, tuition and fees, grants and     
contracts, sales and services of auxiliary enterprises and hospitals, and       
independent operations.</t>
  </si>
  <si>
    <t>Total operating revenues is the sum of all operating revenues.  They result     
from providing services and producing and delivering goods.</t>
  </si>
  <si>
    <t>Federal appropriations  are amounts received by the institution through acts of 
a federal legislative body, except grants and contracts.  Funds reported in     
this category are for meeting current operating expenses, not for specific      
projects or programs.  An example is federal land-grant appropriations.         
However land grant appropriations may be included in operating revenues if      
accounted for by the institution as operating revenue.</t>
  </si>
  <si>
    <t>State appropriations are amounts received by the institution through acts of a  
state legislative body, except grants and contracts and capital appropriations. 
Funds reported in this category are for meeting current operating expenses,     
not for specific projects or programs.</t>
  </si>
  <si>
    <t>Local appropriations, education district taxes and similar support are amounts  
received from property or other taxes assessed directly by or for an            
institution below the state level.  It includes any other similar general       
support provided to the institution from governments below the state level,     
including local government appropriations.</t>
  </si>
  <si>
    <t>Other non-operating revenues are revenues generated from non-exchange           
transactions not reported as appropriations, grants, gifts, or investment       
income</t>
  </si>
  <si>
    <t>Total non-operating revenues represents the sum of all revenues generated from  
non-exchange transactions</t>
  </si>
  <si>
    <t>Capital appropriations are amounts provided by government appropriations        
intended primarily for acquisition or construction of capital assets for the    
institution.</t>
  </si>
  <si>
    <t>Capital grants and gifts are amounts received from gifts or grants primarily    
intended for the acquisition or construction of capital assets for the          
institution.</t>
  </si>
  <si>
    <t>Additions to permanent endowments are gifts or other additions to endowments    
that are permanently nonexpendable.</t>
  </si>
  <si>
    <t>Other revenues and additions are increases to net assets that are not included  
in other categories.</t>
  </si>
  <si>
    <t>Total other revenues and additions represents the sum of capital grants, gifts, 
and appropriations, additions to permanent endowments and other revenues        
not otherwise classified.</t>
  </si>
  <si>
    <t>Total all revenues and other additions represents the sum of all revenues       
and other additions to net assets.  This is the sum of amounts reported in      
F1B09, F1B19, and F1B24.</t>
  </si>
  <si>
    <t>Instruction - total expenses is the sum of all operating expenses associated    
with the colleges, schools, departments, and other instructional divisions of   
the institution and for departmental research and public service that are not   
separately budgeted.  This would include compensation for academic instruction, 
occupational and vocational instruction, community education, preparatory and   
adult basic education, and remedial and tutorial instruction conducted by the   
teaching faculty for the institution's students.</t>
  </si>
  <si>
    <t>Instruction - salaries and wages are amounts paid as compensation for services  
to all employees - faculty, staff, part time, full time, regular employees,     
and student employees of the colleges, schools, departments, and other          
instructional divisions of the institution and for departmental research and    
public service that are not separately budgeted.  This would include            
compensation for academic instruction, occupational and vocational              
instruction, community education, preparatory and adult basic education, and    
remedial and tutorial instruction conducted by the teaching faculty for the institution's students.</t>
  </si>
  <si>
    <t>Discounts and allowances applied to sales and services of auxiliary            
enterprises are reductions to the amount charged for auxiliary enterprises such 
as room and board charges by the application of scholarships and fellowships.   
This amount is equal to the amount of scholarships and fellowships applied to   
charges for sales and services of auxiliary enterprises.</t>
  </si>
  <si>
    <t>Total discounts and allowances is the sum of discounts and allowances that were 
recorded as an offset (reduction) to the revenues of tuition and fees and       
auxiliary enterprises.</t>
  </si>
  <si>
    <t>Value of endowment assets at the beginning of the fiscal year  
ENDOWMENT ASSETS -Consists of gross investments of endowment funds, term endowment funds, and funds functioning as endowment for the institution and any of its foundations and other affiliated organizations.</t>
  </si>
  <si>
    <t>(Final/revised release)</t>
  </si>
  <si>
    <t xml:space="preserve">  Provisional release:</t>
  </si>
  <si>
    <t>January 2019</t>
  </si>
  <si>
    <t xml:space="preserve">  Final/revised release:</t>
  </si>
  <si>
    <t>October 2019</t>
  </si>
  <si>
    <t>F1617_F1A_RV</t>
  </si>
  <si>
    <t>This worksheet contains the code values for of all categorical variables in the data file. It also lists the frequency and percent distribution for each code value by variable.(provisional release)</t>
  </si>
  <si>
    <t>This worksheet lists the sum, mean, minimum and maximum values of all continuous variables in the data file. (provisional release)</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</si>
  <si>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</si>
  <si>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</si>
  <si>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</si>
  <si>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file.(final/revised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</si>
</sst>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_(* #,##0_);_(* \(#,##0\);_(* &quot;-&quot;??_);_(@_)"/>
    <numFmt numFmtId="165" formatCode="_(* #,##0.000_);_(* \(#,##0.000\);_(* &quot;-&quot;??_);_(@_)"/>
  </numFmts>
  <fonts count="5" x14ac:knownFonts="1">
    <font>
      <sz val="10"/>
      <name val="MS Sans Serif"/>
      <family val="2"/>
    </font>
    <font>
      <sz val="10"/>
      <name val="Arial"/>
      <family val="2"/>
    </font>
    <font>
      <b/>
      <sz val="10"/>
      <name val="Arial"/>
      <family val="2"/>
    </font>
    <font>
      <sz val="10"/>
      <name val="MS Sans Serif"/>
      <family val="2"/>
    </font>
    <font>
      <sz val="8"/>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43" fontId="3" fillId="0" borderId="0" applyFont="0" applyFill="0" applyBorder="0" applyAlignment="0" applyProtection="0"/>
  </cellStyleXfs>
  <cellXfs count="37">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top"/>
    </xf>
    <xf numFmtId="0" fontId="2" fillId="0" borderId="0" xfId="0" applyFont="1"/>
    <xf numFmtId="0" fontId="1" fillId="0" borderId="0" xfId="0" applyFont="1" applyAlignment="1">
      <alignment wrapText="1"/>
    </xf>
    <xf numFmtId="0" fontId="0" fillId="0" borderId="0" xfId="0" applyAlignment="1">
      <alignment vertical="top" wrapText="1"/>
    </xf>
    <xf numFmtId="0" fontId="1" fillId="0" borderId="1" xfId="0" applyFont="1" applyBorder="1"/>
    <xf numFmtId="0" fontId="4" fillId="0" borderId="1" xfId="0" applyFont="1" applyBorder="1" applyAlignment="1">
      <alignment vertical="top" wrapText="1"/>
    </xf>
    <xf numFmtId="0" fontId="4" fillId="0" borderId="1" xfId="0" applyFont="1" applyBorder="1" applyAlignment="1">
      <alignment wrapText="1"/>
    </xf>
    <xf numFmtId="0" fontId="4" fillId="0" borderId="0" xfId="0" applyFont="1" applyAlignment="1">
      <alignment vertical="top" wrapText="1"/>
    </xf>
    <xf numFmtId="0" fontId="4" fillId="0" borderId="0" xfId="0" applyFont="1" applyAlignment="1">
      <alignment wrapText="1"/>
    </xf>
    <xf numFmtId="0" fontId="1" fillId="0" borderId="1" xfId="0" applyFont="1" applyBorder="1" applyAlignment="1">
      <alignment horizontal="left"/>
    </xf>
    <xf numFmtId="3" fontId="1" fillId="0" borderId="0" xfId="0" applyNumberFormat="1" applyFont="1"/>
    <xf numFmtId="0" fontId="1" fillId="0" borderId="0" xfId="0" applyFont="1" applyAlignment="1">
      <alignment horizontal="left"/>
    </xf>
    <xf numFmtId="0" fontId="1" fillId="0" borderId="0" xfId="0" applyFont="1" applyAlignment="1">
      <alignment horizontal="left" wrapText="1"/>
    </xf>
    <xf numFmtId="164" fontId="1" fillId="0" borderId="0" xfId="1" applyNumberFormat="1" applyFont="1"/>
    <xf numFmtId="0" fontId="0" fillId="0" borderId="0" xfId="0" applyAlignment="1">
      <alignment horizontal="left" wrapText="1"/>
    </xf>
    <xf numFmtId="3" fontId="1" fillId="0" borderId="1" xfId="0" applyNumberFormat="1" applyFont="1" applyBorder="1"/>
    <xf numFmtId="3" fontId="0" fillId="0" borderId="0" xfId="0" applyNumberFormat="1"/>
    <xf numFmtId="164" fontId="1" fillId="0" borderId="1" xfId="1" applyNumberFormat="1" applyFont="1" applyBorder="1"/>
    <xf numFmtId="164" fontId="0" fillId="0" borderId="0" xfId="1" applyNumberFormat="1" applyFont="1"/>
    <xf numFmtId="165" fontId="1" fillId="0" borderId="1" xfId="1" applyNumberFormat="1" applyFont="1" applyBorder="1"/>
    <xf numFmtId="165" fontId="1" fillId="0" borderId="0" xfId="1" applyNumberFormat="1" applyFont="1"/>
    <xf numFmtId="165" fontId="0" fillId="0" borderId="0" xfId="1" applyNumberFormat="1" applyFont="1"/>
    <xf numFmtId="17" fontId="1" fillId="0" borderId="0" xfId="0" quotePrefix="1" applyNumberFormat="1" applyFont="1"/>
    <xf numFmtId="0" fontId="1" fillId="0" borderId="0" xfId="0" applyFont="1" applyFill="1" applyBorder="1" applyAlignment="1">
      <alignment vertical="top"/>
    </xf>
    <xf numFmtId="0" fontId="0" fillId="0" borderId="1" xfId="0" applyFont="1" applyBorder="1"/>
    <xf numFmtId="0" fontId="1" fillId="0" borderId="0" xfId="0" applyFont="1" applyAlignment="1">
      <alignment vertical="top" wrapText="1"/>
    </xf>
    <xf numFmtId="0" fontId="0" fillId="0" borderId="0" xfId="0" applyAlignment="1">
      <alignment vertical="top" wrapText="1"/>
    </xf>
    <xf numFmtId="0" fontId="1" fillId="0" borderId="0" xfId="0" applyFont="1" applyAlignment="1">
      <alignment horizontal="left" vertical="top" wrapText="1"/>
    </xf>
    <xf numFmtId="0" fontId="1" fillId="0" borderId="0" xfId="0" applyFont="1" applyFill="1" applyBorder="1" applyAlignment="1">
      <alignment vertical="top" wrapText="1"/>
    </xf>
    <xf numFmtId="0" fontId="1" fillId="0" borderId="0" xfId="0" applyFont="1" applyAlignment="1">
      <alignment wrapText="1"/>
    </xf>
    <xf numFmtId="0" fontId="2" fillId="0" borderId="0" xfId="0" applyFont="1" applyAlignment="1">
      <alignment horizontal="center" wrapText="1"/>
    </xf>
    <xf numFmtId="0" fontId="2" fillId="0" borderId="0" xfId="0" applyFont="1" applyAlignment="1">
      <alignment horizontal="center" vertical="top"/>
    </xf>
    <xf numFmtId="0" fontId="2" fillId="0" borderId="0" xfId="0" applyFont="1" applyAlignment="1">
      <alignment horizontal="center"/>
    </xf>
    <xf numFmtId="0" fontId="1" fillId="0" borderId="0" xfId="0" applyFont="1" applyFill="1" applyBorder="1" applyAlignment="1">
      <alignment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tabSelected="1" topLeftCell="A2" workbookViewId="0">
      <selection activeCell="A2" sqref="A2:J2"/>
    </sheetView>
  </sheetViews>
  <sheetFormatPr defaultRowHeight="12.75" x14ac:dyDescent="0.2"/>
  <cols>
    <col min="1" max="1" width="20.28515625" style="2" customWidth="1"/>
    <col min="2" max="2" width="12.140625" style="1" bestFit="1" customWidth="1"/>
    <col min="3" max="16384" width="9.140625" style="1"/>
  </cols>
  <sheetData>
    <row r="1" spans="1:10" s="5" customFormat="1" ht="16.5" customHeight="1" x14ac:dyDescent="0.2">
      <c r="A1" s="33" t="s">
        <v>458</v>
      </c>
      <c r="B1" s="33"/>
      <c r="C1" s="33"/>
      <c r="D1" s="33"/>
      <c r="E1" s="33"/>
      <c r="F1" s="33"/>
      <c r="G1" s="33"/>
      <c r="H1" s="33"/>
      <c r="I1" s="33"/>
      <c r="J1" s="33"/>
    </row>
    <row r="2" spans="1:10" s="5" customFormat="1" x14ac:dyDescent="0.2">
      <c r="A2" s="34" t="s">
        <v>509</v>
      </c>
      <c r="B2" s="35"/>
      <c r="C2" s="35"/>
      <c r="D2" s="35"/>
      <c r="E2" s="35"/>
      <c r="F2" s="35"/>
      <c r="G2" s="35"/>
      <c r="H2" s="35"/>
      <c r="I2" s="35"/>
      <c r="J2" s="35"/>
    </row>
    <row r="4" spans="1:10" x14ac:dyDescent="0.2">
      <c r="A4" s="3" t="s">
        <v>0</v>
      </c>
      <c r="B4" s="4" t="s">
        <v>459</v>
      </c>
    </row>
    <row r="5" spans="1:10" x14ac:dyDescent="0.2">
      <c r="A5" s="2" t="s">
        <v>510</v>
      </c>
      <c r="B5" s="25" t="s">
        <v>511</v>
      </c>
    </row>
    <row r="6" spans="1:10" x14ac:dyDescent="0.2">
      <c r="A6" s="3" t="s">
        <v>0</v>
      </c>
      <c r="B6" s="4" t="s">
        <v>514</v>
      </c>
    </row>
    <row r="7" spans="1:10" x14ac:dyDescent="0.2">
      <c r="A7" s="2" t="s">
        <v>512</v>
      </c>
      <c r="B7" s="25" t="s">
        <v>513</v>
      </c>
    </row>
    <row r="9" spans="1:10" ht="106.5" customHeight="1" x14ac:dyDescent="0.2">
      <c r="A9" s="2" t="s">
        <v>1</v>
      </c>
      <c r="B9" s="28" t="s">
        <v>457</v>
      </c>
      <c r="C9" s="28"/>
      <c r="D9" s="28"/>
      <c r="E9" s="28"/>
      <c r="F9" s="28"/>
      <c r="G9" s="28"/>
      <c r="H9" s="28"/>
      <c r="I9" s="28"/>
      <c r="J9" s="28"/>
    </row>
    <row r="10" spans="1:10" ht="111" customHeight="1" x14ac:dyDescent="0.2">
      <c r="A10" s="2" t="s">
        <v>2</v>
      </c>
      <c r="B10" s="28" t="s">
        <v>3</v>
      </c>
      <c r="C10" s="29"/>
      <c r="D10" s="29"/>
      <c r="E10" s="29"/>
      <c r="F10" s="29"/>
      <c r="G10" s="29"/>
      <c r="H10" s="29"/>
      <c r="I10" s="29"/>
      <c r="J10" s="29"/>
    </row>
    <row r="12" spans="1:10" ht="77.25" customHeight="1" x14ac:dyDescent="0.2">
      <c r="A12" s="2" t="s">
        <v>4</v>
      </c>
      <c r="B12" s="28" t="s">
        <v>5</v>
      </c>
      <c r="C12" s="28"/>
      <c r="D12" s="28"/>
      <c r="E12" s="28"/>
      <c r="F12" s="28"/>
      <c r="G12" s="28"/>
      <c r="H12" s="28"/>
      <c r="I12" s="28"/>
      <c r="J12" s="28"/>
    </row>
    <row r="13" spans="1:10" x14ac:dyDescent="0.2">
      <c r="A13" s="2" t="s">
        <v>6</v>
      </c>
      <c r="B13" s="28" t="s">
        <v>7</v>
      </c>
      <c r="C13" s="28"/>
      <c r="D13" s="28"/>
      <c r="E13" s="28"/>
      <c r="F13" s="28"/>
      <c r="G13" s="28"/>
      <c r="H13" s="28"/>
      <c r="I13" s="28"/>
      <c r="J13" s="28"/>
    </row>
    <row r="14" spans="1:10" ht="26.25" customHeight="1" x14ac:dyDescent="0.2">
      <c r="A14" s="2" t="s">
        <v>8</v>
      </c>
      <c r="B14" s="32" t="s">
        <v>515</v>
      </c>
      <c r="C14" s="32"/>
      <c r="D14" s="32"/>
      <c r="E14" s="32"/>
      <c r="F14" s="32"/>
      <c r="G14" s="32"/>
      <c r="H14" s="32"/>
      <c r="I14" s="32"/>
      <c r="J14" s="32"/>
    </row>
    <row r="15" spans="1:10" ht="27.75" customHeight="1" x14ac:dyDescent="0.2">
      <c r="A15" s="26" t="s">
        <v>9</v>
      </c>
      <c r="B15" s="31" t="s">
        <v>516</v>
      </c>
      <c r="C15" s="31"/>
      <c r="D15" s="31"/>
      <c r="E15" s="31"/>
      <c r="F15" s="31"/>
      <c r="G15" s="31"/>
      <c r="H15" s="31"/>
      <c r="I15" s="31"/>
      <c r="J15" s="31"/>
    </row>
    <row r="16" spans="1:10" ht="26.25" customHeight="1" x14ac:dyDescent="0.2">
      <c r="A16" s="2" t="s">
        <v>517</v>
      </c>
      <c r="B16" s="32" t="s">
        <v>518</v>
      </c>
      <c r="C16" s="32"/>
      <c r="D16" s="32"/>
      <c r="E16" s="32"/>
      <c r="F16" s="32"/>
      <c r="G16" s="32"/>
      <c r="H16" s="32"/>
      <c r="I16" s="32"/>
      <c r="J16" s="32"/>
    </row>
    <row r="17" spans="1:10" ht="26.25" customHeight="1" x14ac:dyDescent="0.2">
      <c r="A17" s="26" t="s">
        <v>519</v>
      </c>
      <c r="B17" s="36" t="s">
        <v>520</v>
      </c>
      <c r="C17" s="36"/>
      <c r="D17" s="36"/>
      <c r="E17" s="36"/>
      <c r="F17" s="36"/>
      <c r="G17" s="36"/>
      <c r="H17" s="36"/>
      <c r="I17" s="36"/>
      <c r="J17" s="36"/>
    </row>
    <row r="18" spans="1:10" x14ac:dyDescent="0.2">
      <c r="A18" s="2" t="s">
        <v>10</v>
      </c>
      <c r="B18" s="32" t="s">
        <v>373</v>
      </c>
      <c r="C18" s="32"/>
      <c r="D18" s="32"/>
      <c r="E18" s="32"/>
      <c r="F18" s="32"/>
      <c r="G18" s="32"/>
      <c r="H18" s="32"/>
      <c r="I18" s="32"/>
      <c r="J18" s="32"/>
    </row>
    <row r="19" spans="1:10" x14ac:dyDescent="0.2">
      <c r="B19" s="30"/>
      <c r="C19" s="29"/>
      <c r="D19" s="29"/>
      <c r="E19" s="29"/>
      <c r="F19" s="29"/>
      <c r="G19" s="29"/>
      <c r="H19" s="29"/>
      <c r="I19" s="29"/>
    </row>
  </sheetData>
  <mergeCells count="12">
    <mergeCell ref="B10:J10"/>
    <mergeCell ref="B19:I19"/>
    <mergeCell ref="B15:J15"/>
    <mergeCell ref="B16:J16"/>
    <mergeCell ref="A1:J1"/>
    <mergeCell ref="B9:J9"/>
    <mergeCell ref="B12:J12"/>
    <mergeCell ref="B13:J13"/>
    <mergeCell ref="B14:J14"/>
    <mergeCell ref="A2:J2"/>
    <mergeCell ref="B17:J17"/>
    <mergeCell ref="B18:J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8"/>
  <sheetViews>
    <sheetView workbookViewId="0">
      <pane ySplit="1" topLeftCell="A2" activePane="bottomLeft" state="frozen"/>
      <selection pane="bottomLeft"/>
    </sheetView>
  </sheetViews>
  <sheetFormatPr defaultRowHeight="12.75" x14ac:dyDescent="0.2"/>
  <cols>
    <col min="1" max="1" width="13" customWidth="1"/>
    <col min="2" max="2" width="10.85546875" bestFit="1" customWidth="1"/>
    <col min="3" max="3" width="9" customWidth="1"/>
    <col min="4" max="4" width="13" customWidth="1"/>
    <col min="5" max="5" width="7" customWidth="1"/>
    <col min="6" max="6" width="11.85546875" bestFit="1" customWidth="1"/>
    <col min="7" max="7" width="81.28515625" bestFit="1" customWidth="1"/>
  </cols>
  <sheetData>
    <row r="1" spans="1:7" s="27" customFormat="1" x14ac:dyDescent="0.2">
      <c r="A1" s="7" t="s">
        <v>11</v>
      </c>
      <c r="B1" s="7" t="s">
        <v>12</v>
      </c>
      <c r="C1" s="7" t="s">
        <v>13</v>
      </c>
      <c r="D1" s="7" t="s">
        <v>14</v>
      </c>
      <c r="E1" s="7" t="s">
        <v>15</v>
      </c>
      <c r="F1" s="7" t="s">
        <v>16</v>
      </c>
      <c r="G1" s="7" t="s">
        <v>17</v>
      </c>
    </row>
    <row r="2" spans="1:7" x14ac:dyDescent="0.2">
      <c r="A2" s="1">
        <v>1</v>
      </c>
      <c r="B2" s="1" t="s">
        <v>18</v>
      </c>
      <c r="C2" s="1" t="s">
        <v>19</v>
      </c>
      <c r="D2" s="1">
        <v>6</v>
      </c>
      <c r="E2" s="1" t="s">
        <v>20</v>
      </c>
      <c r="F2" s="1" t="s">
        <v>464</v>
      </c>
      <c r="G2" s="1" t="s">
        <v>21</v>
      </c>
    </row>
    <row r="3" spans="1:7" x14ac:dyDescent="0.2">
      <c r="A3" s="1">
        <v>61386</v>
      </c>
      <c r="B3" s="1" t="s">
        <v>22</v>
      </c>
      <c r="C3" s="1" t="s">
        <v>19</v>
      </c>
      <c r="D3" s="1">
        <v>12</v>
      </c>
      <c r="E3" s="1" t="s">
        <v>20</v>
      </c>
      <c r="F3" s="1" t="s">
        <v>23</v>
      </c>
      <c r="G3" s="1" t="s">
        <v>24</v>
      </c>
    </row>
    <row r="4" spans="1:7" x14ac:dyDescent="0.2">
      <c r="A4" s="1">
        <v>65001</v>
      </c>
      <c r="B4" s="1" t="s">
        <v>25</v>
      </c>
      <c r="C4" s="1" t="s">
        <v>19</v>
      </c>
      <c r="D4" s="1">
        <v>12</v>
      </c>
      <c r="E4" s="1" t="s">
        <v>20</v>
      </c>
      <c r="F4" s="1" t="s">
        <v>26</v>
      </c>
      <c r="G4" s="1" t="s">
        <v>27</v>
      </c>
    </row>
    <row r="5" spans="1:7" x14ac:dyDescent="0.2">
      <c r="A5" s="1">
        <v>61401</v>
      </c>
      <c r="B5" s="1" t="s">
        <v>28</v>
      </c>
      <c r="C5" s="1" t="s">
        <v>19</v>
      </c>
      <c r="D5" s="1">
        <v>12</v>
      </c>
      <c r="E5" s="1" t="s">
        <v>20</v>
      </c>
      <c r="F5" s="1" t="s">
        <v>29</v>
      </c>
      <c r="G5" s="1" t="s">
        <v>30</v>
      </c>
    </row>
    <row r="6" spans="1:7" x14ac:dyDescent="0.2">
      <c r="A6" s="1">
        <v>61406</v>
      </c>
      <c r="B6" s="1" t="s">
        <v>31</v>
      </c>
      <c r="C6" s="1" t="s">
        <v>19</v>
      </c>
      <c r="D6" s="1">
        <v>12</v>
      </c>
      <c r="E6" s="1" t="s">
        <v>20</v>
      </c>
      <c r="F6" s="1" t="s">
        <v>32</v>
      </c>
      <c r="G6" s="1" t="s">
        <v>33</v>
      </c>
    </row>
    <row r="7" spans="1:7" x14ac:dyDescent="0.2">
      <c r="A7" s="1">
        <v>61411</v>
      </c>
      <c r="B7" s="1" t="s">
        <v>34</v>
      </c>
      <c r="C7" s="1" t="s">
        <v>19</v>
      </c>
      <c r="D7" s="1">
        <v>12</v>
      </c>
      <c r="E7" s="1" t="s">
        <v>20</v>
      </c>
      <c r="F7" s="1" t="s">
        <v>35</v>
      </c>
      <c r="G7" s="1" t="s">
        <v>36</v>
      </c>
    </row>
    <row r="8" spans="1:7" x14ac:dyDescent="0.2">
      <c r="A8" s="1">
        <v>61473</v>
      </c>
      <c r="B8" s="1" t="s">
        <v>427</v>
      </c>
      <c r="C8" s="1" t="s">
        <v>19</v>
      </c>
      <c r="D8" s="1">
        <v>12</v>
      </c>
      <c r="E8" s="1" t="s">
        <v>20</v>
      </c>
      <c r="F8" s="1" t="s">
        <v>428</v>
      </c>
      <c r="G8" s="1" t="s">
        <v>429</v>
      </c>
    </row>
    <row r="9" spans="1:7" x14ac:dyDescent="0.2">
      <c r="A9" s="1">
        <v>61416</v>
      </c>
      <c r="B9" s="1" t="s">
        <v>37</v>
      </c>
      <c r="C9" s="1" t="s">
        <v>19</v>
      </c>
      <c r="D9" s="1">
        <v>12</v>
      </c>
      <c r="E9" s="1" t="s">
        <v>20</v>
      </c>
      <c r="F9" s="1" t="s">
        <v>38</v>
      </c>
      <c r="G9" s="1" t="s">
        <v>39</v>
      </c>
    </row>
    <row r="10" spans="1:7" x14ac:dyDescent="0.2">
      <c r="A10" s="1">
        <v>61421</v>
      </c>
      <c r="B10" s="1" t="s">
        <v>40</v>
      </c>
      <c r="C10" s="1" t="s">
        <v>19</v>
      </c>
      <c r="D10" s="1">
        <v>12</v>
      </c>
      <c r="E10" s="1" t="s">
        <v>20</v>
      </c>
      <c r="F10" s="1" t="s">
        <v>41</v>
      </c>
      <c r="G10" s="1" t="s">
        <v>42</v>
      </c>
    </row>
    <row r="11" spans="1:7" x14ac:dyDescent="0.2">
      <c r="A11" s="1">
        <v>61426</v>
      </c>
      <c r="B11" s="1" t="s">
        <v>43</v>
      </c>
      <c r="C11" s="1" t="s">
        <v>19</v>
      </c>
      <c r="D11" s="1">
        <v>12</v>
      </c>
      <c r="E11" s="1" t="s">
        <v>20</v>
      </c>
      <c r="F11" s="1" t="s">
        <v>44</v>
      </c>
      <c r="G11" s="1" t="s">
        <v>45</v>
      </c>
    </row>
    <row r="12" spans="1:7" x14ac:dyDescent="0.2">
      <c r="A12" s="1">
        <v>61431</v>
      </c>
      <c r="B12" s="1" t="s">
        <v>46</v>
      </c>
      <c r="C12" s="1" t="s">
        <v>19</v>
      </c>
      <c r="D12" s="1">
        <v>12</v>
      </c>
      <c r="E12" s="1" t="s">
        <v>20</v>
      </c>
      <c r="F12" s="1" t="s">
        <v>47</v>
      </c>
      <c r="G12" s="1" t="s">
        <v>48</v>
      </c>
    </row>
    <row r="13" spans="1:7" x14ac:dyDescent="0.2">
      <c r="A13" s="1">
        <v>61436</v>
      </c>
      <c r="B13" s="1" t="s">
        <v>49</v>
      </c>
      <c r="C13" s="1" t="s">
        <v>19</v>
      </c>
      <c r="D13" s="1">
        <v>12</v>
      </c>
      <c r="E13" s="1" t="s">
        <v>20</v>
      </c>
      <c r="F13" s="1" t="s">
        <v>50</v>
      </c>
      <c r="G13" s="1" t="s">
        <v>51</v>
      </c>
    </row>
    <row r="14" spans="1:7" x14ac:dyDescent="0.2">
      <c r="A14" s="1">
        <v>61441</v>
      </c>
      <c r="B14" s="1" t="s">
        <v>52</v>
      </c>
      <c r="C14" s="1" t="s">
        <v>19</v>
      </c>
      <c r="D14" s="1">
        <v>12</v>
      </c>
      <c r="E14" s="1" t="s">
        <v>20</v>
      </c>
      <c r="F14" s="1" t="s">
        <v>53</v>
      </c>
      <c r="G14" s="1" t="s">
        <v>54</v>
      </c>
    </row>
    <row r="15" spans="1:7" x14ac:dyDescent="0.2">
      <c r="A15" s="1">
        <v>61446</v>
      </c>
      <c r="B15" s="1" t="s">
        <v>55</v>
      </c>
      <c r="C15" s="1" t="s">
        <v>19</v>
      </c>
      <c r="D15" s="1">
        <v>12</v>
      </c>
      <c r="E15" s="1" t="s">
        <v>20</v>
      </c>
      <c r="F15" s="1" t="s">
        <v>56</v>
      </c>
      <c r="G15" s="1" t="s">
        <v>57</v>
      </c>
    </row>
    <row r="16" spans="1:7" x14ac:dyDescent="0.2">
      <c r="A16" s="1">
        <v>61474</v>
      </c>
      <c r="B16" s="1" t="s">
        <v>430</v>
      </c>
      <c r="C16" s="1" t="s">
        <v>19</v>
      </c>
      <c r="D16" s="1">
        <v>12</v>
      </c>
      <c r="E16" s="1" t="s">
        <v>20</v>
      </c>
      <c r="F16" s="1" t="s">
        <v>431</v>
      </c>
      <c r="G16" s="1" t="s">
        <v>432</v>
      </c>
    </row>
    <row r="17" spans="1:7" x14ac:dyDescent="0.2">
      <c r="A17" s="1">
        <v>61451</v>
      </c>
      <c r="B17" s="1" t="s">
        <v>58</v>
      </c>
      <c r="C17" s="1" t="s">
        <v>19</v>
      </c>
      <c r="D17" s="1">
        <v>12</v>
      </c>
      <c r="E17" s="1" t="s">
        <v>20</v>
      </c>
      <c r="F17" s="1" t="s">
        <v>59</v>
      </c>
      <c r="G17" s="1" t="s">
        <v>60</v>
      </c>
    </row>
    <row r="18" spans="1:7" x14ac:dyDescent="0.2">
      <c r="A18" s="1">
        <v>61456</v>
      </c>
      <c r="B18" s="1" t="s">
        <v>61</v>
      </c>
      <c r="C18" s="1" t="s">
        <v>19</v>
      </c>
      <c r="D18" s="1">
        <v>12</v>
      </c>
      <c r="E18" s="1" t="s">
        <v>20</v>
      </c>
      <c r="F18" s="1" t="s">
        <v>62</v>
      </c>
      <c r="G18" s="1" t="s">
        <v>63</v>
      </c>
    </row>
    <row r="19" spans="1:7" x14ac:dyDescent="0.2">
      <c r="A19" s="1">
        <v>61461</v>
      </c>
      <c r="B19" s="1" t="s">
        <v>64</v>
      </c>
      <c r="C19" s="1" t="s">
        <v>19</v>
      </c>
      <c r="D19" s="1">
        <v>12</v>
      </c>
      <c r="E19" s="1" t="s">
        <v>20</v>
      </c>
      <c r="F19" s="1" t="s">
        <v>65</v>
      </c>
      <c r="G19" s="1" t="s">
        <v>66</v>
      </c>
    </row>
    <row r="20" spans="1:7" x14ac:dyDescent="0.2">
      <c r="A20" s="1">
        <v>61466</v>
      </c>
      <c r="B20" s="1" t="s">
        <v>67</v>
      </c>
      <c r="C20" s="1" t="s">
        <v>19</v>
      </c>
      <c r="D20" s="1">
        <v>12</v>
      </c>
      <c r="E20" s="1" t="s">
        <v>20</v>
      </c>
      <c r="F20" s="1" t="s">
        <v>68</v>
      </c>
      <c r="G20" s="1" t="s">
        <v>69</v>
      </c>
    </row>
    <row r="21" spans="1:7" x14ac:dyDescent="0.2">
      <c r="A21" s="1">
        <v>61471</v>
      </c>
      <c r="B21" s="1" t="s">
        <v>70</v>
      </c>
      <c r="C21" s="1" t="s">
        <v>19</v>
      </c>
      <c r="D21" s="1">
        <v>12</v>
      </c>
      <c r="E21" s="1" t="s">
        <v>20</v>
      </c>
      <c r="F21" s="1" t="s">
        <v>71</v>
      </c>
      <c r="G21" s="1" t="s">
        <v>433</v>
      </c>
    </row>
    <row r="22" spans="1:7" x14ac:dyDescent="0.2">
      <c r="A22" s="1">
        <v>61491</v>
      </c>
      <c r="B22" s="1" t="s">
        <v>72</v>
      </c>
      <c r="C22" s="1" t="s">
        <v>19</v>
      </c>
      <c r="D22" s="1">
        <v>12</v>
      </c>
      <c r="E22" s="1" t="s">
        <v>20</v>
      </c>
      <c r="F22" s="1" t="s">
        <v>73</v>
      </c>
      <c r="G22" s="1" t="s">
        <v>74</v>
      </c>
    </row>
    <row r="23" spans="1:7" x14ac:dyDescent="0.2">
      <c r="A23" s="1">
        <v>61511</v>
      </c>
      <c r="B23" s="1" t="s">
        <v>75</v>
      </c>
      <c r="C23" s="1" t="s">
        <v>19</v>
      </c>
      <c r="D23" s="1">
        <v>12</v>
      </c>
      <c r="E23" s="1" t="s">
        <v>20</v>
      </c>
      <c r="F23" s="1" t="s">
        <v>76</v>
      </c>
      <c r="G23" s="1" t="s">
        <v>77</v>
      </c>
    </row>
    <row r="24" spans="1:7" x14ac:dyDescent="0.2">
      <c r="A24" s="1">
        <v>61531</v>
      </c>
      <c r="B24" s="1" t="s">
        <v>78</v>
      </c>
      <c r="C24" s="1" t="s">
        <v>19</v>
      </c>
      <c r="D24" s="1">
        <v>12</v>
      </c>
      <c r="E24" s="1" t="s">
        <v>20</v>
      </c>
      <c r="F24" s="1" t="s">
        <v>79</v>
      </c>
      <c r="G24" s="1" t="s">
        <v>80</v>
      </c>
    </row>
    <row r="25" spans="1:7" x14ac:dyDescent="0.2">
      <c r="A25" s="1">
        <v>65006</v>
      </c>
      <c r="B25" s="1" t="s">
        <v>81</v>
      </c>
      <c r="C25" s="1" t="s">
        <v>19</v>
      </c>
      <c r="D25" s="1">
        <v>12</v>
      </c>
      <c r="E25" s="1" t="s">
        <v>20</v>
      </c>
      <c r="F25" s="1" t="s">
        <v>82</v>
      </c>
      <c r="G25" s="1" t="s">
        <v>83</v>
      </c>
    </row>
    <row r="26" spans="1:7" x14ac:dyDescent="0.2">
      <c r="A26" s="1">
        <v>61611</v>
      </c>
      <c r="B26" s="1" t="s">
        <v>84</v>
      </c>
      <c r="C26" s="1" t="s">
        <v>19</v>
      </c>
      <c r="D26" s="1">
        <v>12</v>
      </c>
      <c r="E26" s="1" t="s">
        <v>20</v>
      </c>
      <c r="F26" s="1" t="s">
        <v>85</v>
      </c>
      <c r="G26" s="1" t="s">
        <v>86</v>
      </c>
    </row>
    <row r="27" spans="1:7" x14ac:dyDescent="0.2">
      <c r="A27" s="1">
        <v>61615</v>
      </c>
      <c r="B27" s="1" t="s">
        <v>87</v>
      </c>
      <c r="C27" s="1" t="s">
        <v>19</v>
      </c>
      <c r="D27" s="1">
        <v>12</v>
      </c>
      <c r="E27" s="1" t="s">
        <v>20</v>
      </c>
      <c r="F27" s="1" t="s">
        <v>88</v>
      </c>
      <c r="G27" s="1" t="s">
        <v>89</v>
      </c>
    </row>
    <row r="28" spans="1:7" x14ac:dyDescent="0.2">
      <c r="A28" s="1">
        <v>61631</v>
      </c>
      <c r="B28" s="1" t="s">
        <v>90</v>
      </c>
      <c r="C28" s="1" t="s">
        <v>19</v>
      </c>
      <c r="D28" s="1">
        <v>12</v>
      </c>
      <c r="E28" s="1" t="s">
        <v>20</v>
      </c>
      <c r="F28" s="1" t="s">
        <v>91</v>
      </c>
      <c r="G28" s="1" t="s">
        <v>92</v>
      </c>
    </row>
    <row r="29" spans="1:7" x14ac:dyDescent="0.2">
      <c r="A29" s="1">
        <v>65011</v>
      </c>
      <c r="B29" s="1" t="s">
        <v>93</v>
      </c>
      <c r="C29" s="1" t="s">
        <v>19</v>
      </c>
      <c r="D29" s="1">
        <v>12</v>
      </c>
      <c r="E29" s="1" t="s">
        <v>20</v>
      </c>
      <c r="F29" s="1" t="s">
        <v>94</v>
      </c>
      <c r="G29" s="1" t="s">
        <v>95</v>
      </c>
    </row>
    <row r="30" spans="1:7" x14ac:dyDescent="0.2">
      <c r="A30" s="1">
        <v>65016</v>
      </c>
      <c r="B30" s="1" t="s">
        <v>96</v>
      </c>
      <c r="C30" s="1" t="s">
        <v>19</v>
      </c>
      <c r="D30" s="1">
        <v>12</v>
      </c>
      <c r="E30" s="1" t="s">
        <v>20</v>
      </c>
      <c r="F30" s="1" t="s">
        <v>97</v>
      </c>
      <c r="G30" s="1" t="s">
        <v>98</v>
      </c>
    </row>
    <row r="31" spans="1:7" x14ac:dyDescent="0.2">
      <c r="A31" s="1">
        <v>62281</v>
      </c>
      <c r="B31" s="1" t="s">
        <v>256</v>
      </c>
      <c r="C31" s="1" t="s">
        <v>19</v>
      </c>
      <c r="D31" s="1">
        <v>12</v>
      </c>
      <c r="E31" s="1" t="s">
        <v>20</v>
      </c>
      <c r="F31" s="1" t="s">
        <v>257</v>
      </c>
      <c r="G31" s="1" t="s">
        <v>258</v>
      </c>
    </row>
    <row r="32" spans="1:7" x14ac:dyDescent="0.2">
      <c r="A32" s="1">
        <v>62286</v>
      </c>
      <c r="B32" s="1" t="s">
        <v>259</v>
      </c>
      <c r="C32" s="1" t="s">
        <v>19</v>
      </c>
      <c r="D32" s="1">
        <v>12</v>
      </c>
      <c r="E32" s="1" t="s">
        <v>20</v>
      </c>
      <c r="F32" s="1" t="s">
        <v>260</v>
      </c>
      <c r="G32" s="1" t="s">
        <v>261</v>
      </c>
    </row>
    <row r="33" spans="1:7" x14ac:dyDescent="0.2">
      <c r="A33" s="1">
        <v>62291</v>
      </c>
      <c r="B33" s="1" t="s">
        <v>262</v>
      </c>
      <c r="C33" s="1" t="s">
        <v>19</v>
      </c>
      <c r="D33" s="1">
        <v>12</v>
      </c>
      <c r="E33" s="1" t="s">
        <v>20</v>
      </c>
      <c r="F33" s="1" t="s">
        <v>263</v>
      </c>
      <c r="G33" s="1" t="s">
        <v>264</v>
      </c>
    </row>
    <row r="34" spans="1:7" x14ac:dyDescent="0.2">
      <c r="A34" s="1">
        <v>62296</v>
      </c>
      <c r="B34" s="1" t="s">
        <v>265</v>
      </c>
      <c r="C34" s="1" t="s">
        <v>19</v>
      </c>
      <c r="D34" s="1">
        <v>12</v>
      </c>
      <c r="E34" s="1" t="s">
        <v>20</v>
      </c>
      <c r="F34" s="1" t="s">
        <v>266</v>
      </c>
      <c r="G34" s="1" t="s">
        <v>267</v>
      </c>
    </row>
    <row r="35" spans="1:7" x14ac:dyDescent="0.2">
      <c r="A35" s="1">
        <v>62301</v>
      </c>
      <c r="B35" s="1" t="s">
        <v>268</v>
      </c>
      <c r="C35" s="1" t="s">
        <v>19</v>
      </c>
      <c r="D35" s="1">
        <v>12</v>
      </c>
      <c r="E35" s="1" t="s">
        <v>20</v>
      </c>
      <c r="F35" s="1" t="s">
        <v>269</v>
      </c>
      <c r="G35" s="1" t="s">
        <v>270</v>
      </c>
    </row>
    <row r="36" spans="1:7" x14ac:dyDescent="0.2">
      <c r="A36" s="1">
        <v>62306</v>
      </c>
      <c r="B36" s="1" t="s">
        <v>271</v>
      </c>
      <c r="C36" s="1" t="s">
        <v>19</v>
      </c>
      <c r="D36" s="1">
        <v>12</v>
      </c>
      <c r="E36" s="1" t="s">
        <v>20</v>
      </c>
      <c r="F36" s="1" t="s">
        <v>272</v>
      </c>
      <c r="G36" s="1" t="s">
        <v>273</v>
      </c>
    </row>
    <row r="37" spans="1:7" x14ac:dyDescent="0.2">
      <c r="A37" s="1">
        <v>61636</v>
      </c>
      <c r="B37" s="1" t="s">
        <v>99</v>
      </c>
      <c r="C37" s="1" t="s">
        <v>19</v>
      </c>
      <c r="D37" s="1">
        <v>12</v>
      </c>
      <c r="E37" s="1" t="s">
        <v>20</v>
      </c>
      <c r="F37" s="1" t="s">
        <v>100</v>
      </c>
      <c r="G37" s="1" t="s">
        <v>101</v>
      </c>
    </row>
    <row r="38" spans="1:7" x14ac:dyDescent="0.2">
      <c r="A38" s="1">
        <v>61641</v>
      </c>
      <c r="B38" s="1" t="s">
        <v>102</v>
      </c>
      <c r="C38" s="1" t="s">
        <v>19</v>
      </c>
      <c r="D38" s="1">
        <v>12</v>
      </c>
      <c r="E38" s="1" t="s">
        <v>20</v>
      </c>
      <c r="F38" s="1" t="s">
        <v>103</v>
      </c>
      <c r="G38" s="1" t="s">
        <v>104</v>
      </c>
    </row>
    <row r="39" spans="1:7" x14ac:dyDescent="0.2">
      <c r="A39" s="1">
        <v>61646</v>
      </c>
      <c r="B39" s="1" t="s">
        <v>105</v>
      </c>
      <c r="C39" s="1" t="s">
        <v>19</v>
      </c>
      <c r="D39" s="1">
        <v>12</v>
      </c>
      <c r="E39" s="1" t="s">
        <v>20</v>
      </c>
      <c r="F39" s="1" t="s">
        <v>106</v>
      </c>
      <c r="G39" s="1" t="s">
        <v>107</v>
      </c>
    </row>
    <row r="40" spans="1:7" x14ac:dyDescent="0.2">
      <c r="A40" s="1">
        <v>61651</v>
      </c>
      <c r="B40" s="1" t="s">
        <v>108</v>
      </c>
      <c r="C40" s="1" t="s">
        <v>19</v>
      </c>
      <c r="D40" s="1">
        <v>12</v>
      </c>
      <c r="E40" s="1" t="s">
        <v>20</v>
      </c>
      <c r="F40" s="1" t="s">
        <v>109</v>
      </c>
      <c r="G40" s="1" t="s">
        <v>110</v>
      </c>
    </row>
    <row r="41" spans="1:7" x14ac:dyDescent="0.2">
      <c r="A41" s="1">
        <v>65021</v>
      </c>
      <c r="B41" s="1" t="s">
        <v>111</v>
      </c>
      <c r="C41" s="1" t="s">
        <v>19</v>
      </c>
      <c r="D41" s="1">
        <v>12</v>
      </c>
      <c r="E41" s="1" t="s">
        <v>20</v>
      </c>
      <c r="F41" s="1" t="s">
        <v>112</v>
      </c>
      <c r="G41" s="1" t="s">
        <v>113</v>
      </c>
    </row>
    <row r="42" spans="1:7" x14ac:dyDescent="0.2">
      <c r="A42" s="1">
        <v>65026</v>
      </c>
      <c r="B42" s="1" t="s">
        <v>114</v>
      </c>
      <c r="C42" s="1" t="s">
        <v>19</v>
      </c>
      <c r="D42" s="1">
        <v>12</v>
      </c>
      <c r="E42" s="1" t="s">
        <v>20</v>
      </c>
      <c r="F42" t="s">
        <v>115</v>
      </c>
      <c r="G42" s="1" t="s">
        <v>116</v>
      </c>
    </row>
    <row r="43" spans="1:7" x14ac:dyDescent="0.2">
      <c r="A43" s="1">
        <v>61656</v>
      </c>
      <c r="B43" s="1" t="s">
        <v>117</v>
      </c>
      <c r="C43" s="1" t="s">
        <v>19</v>
      </c>
      <c r="D43" s="1">
        <v>12</v>
      </c>
      <c r="E43" s="1" t="s">
        <v>20</v>
      </c>
      <c r="F43" s="1" t="s">
        <v>118</v>
      </c>
      <c r="G43" s="1" t="s">
        <v>119</v>
      </c>
    </row>
    <row r="44" spans="1:7" x14ac:dyDescent="0.2">
      <c r="A44" s="1">
        <v>61661</v>
      </c>
      <c r="B44" s="1" t="s">
        <v>120</v>
      </c>
      <c r="C44" s="1" t="s">
        <v>19</v>
      </c>
      <c r="D44" s="1">
        <v>12</v>
      </c>
      <c r="E44" s="1" t="s">
        <v>20</v>
      </c>
      <c r="F44" s="1" t="s">
        <v>121</v>
      </c>
      <c r="G44" s="1" t="s">
        <v>122</v>
      </c>
    </row>
    <row r="45" spans="1:7" x14ac:dyDescent="0.2">
      <c r="A45" s="1">
        <v>65031</v>
      </c>
      <c r="B45" s="1" t="s">
        <v>123</v>
      </c>
      <c r="C45" s="1" t="s">
        <v>19</v>
      </c>
      <c r="D45" s="1">
        <v>12</v>
      </c>
      <c r="E45" s="1" t="s">
        <v>20</v>
      </c>
      <c r="F45" s="1" t="s">
        <v>124</v>
      </c>
      <c r="G45" s="1" t="s">
        <v>125</v>
      </c>
    </row>
    <row r="46" spans="1:7" x14ac:dyDescent="0.2">
      <c r="A46" s="1">
        <v>61666</v>
      </c>
      <c r="B46" s="1" t="s">
        <v>126</v>
      </c>
      <c r="C46" s="1" t="s">
        <v>19</v>
      </c>
      <c r="D46" s="1">
        <v>12</v>
      </c>
      <c r="E46" s="1" t="s">
        <v>20</v>
      </c>
      <c r="F46" t="s">
        <v>127</v>
      </c>
      <c r="G46" s="1" t="s">
        <v>128</v>
      </c>
    </row>
    <row r="47" spans="1:7" x14ac:dyDescent="0.2">
      <c r="A47" s="1">
        <v>61671</v>
      </c>
      <c r="B47" s="1" t="s">
        <v>129</v>
      </c>
      <c r="C47" s="1" t="s">
        <v>19</v>
      </c>
      <c r="D47" s="1">
        <v>12</v>
      </c>
      <c r="E47" s="1" t="s">
        <v>20</v>
      </c>
      <c r="F47" s="1" t="s">
        <v>130</v>
      </c>
      <c r="G47" s="1" t="s">
        <v>131</v>
      </c>
    </row>
    <row r="48" spans="1:7" x14ac:dyDescent="0.2">
      <c r="A48" s="1">
        <v>61676</v>
      </c>
      <c r="B48" s="1" t="s">
        <v>132</v>
      </c>
      <c r="C48" s="1" t="s">
        <v>19</v>
      </c>
      <c r="D48" s="1">
        <v>12</v>
      </c>
      <c r="E48" s="1" t="s">
        <v>20</v>
      </c>
      <c r="F48" t="s">
        <v>133</v>
      </c>
      <c r="G48" s="1" t="s">
        <v>134</v>
      </c>
    </row>
    <row r="49" spans="1:7" x14ac:dyDescent="0.2">
      <c r="A49" s="1">
        <v>61681</v>
      </c>
      <c r="B49" s="1" t="s">
        <v>135</v>
      </c>
      <c r="C49" s="1" t="s">
        <v>19</v>
      </c>
      <c r="D49" s="1">
        <v>12</v>
      </c>
      <c r="E49" s="1" t="s">
        <v>20</v>
      </c>
      <c r="F49" s="1" t="s">
        <v>136</v>
      </c>
      <c r="G49" s="1" t="s">
        <v>137</v>
      </c>
    </row>
    <row r="50" spans="1:7" x14ac:dyDescent="0.2">
      <c r="A50" s="1">
        <v>61686</v>
      </c>
      <c r="B50" s="1" t="s">
        <v>138</v>
      </c>
      <c r="C50" s="1" t="s">
        <v>19</v>
      </c>
      <c r="D50" s="1">
        <v>12</v>
      </c>
      <c r="E50" s="1" t="s">
        <v>20</v>
      </c>
      <c r="F50" s="1" t="s">
        <v>139</v>
      </c>
      <c r="G50" s="1" t="s">
        <v>140</v>
      </c>
    </row>
    <row r="51" spans="1:7" x14ac:dyDescent="0.2">
      <c r="A51" s="1">
        <v>61691</v>
      </c>
      <c r="B51" s="1" t="s">
        <v>141</v>
      </c>
      <c r="C51" s="1" t="s">
        <v>19</v>
      </c>
      <c r="D51" s="1">
        <v>12</v>
      </c>
      <c r="E51" s="1" t="s">
        <v>20</v>
      </c>
      <c r="F51" s="1" t="s">
        <v>142</v>
      </c>
      <c r="G51" s="1" t="s">
        <v>143</v>
      </c>
    </row>
    <row r="52" spans="1:7" x14ac:dyDescent="0.2">
      <c r="A52" s="1">
        <v>61696</v>
      </c>
      <c r="B52" s="1" t="s">
        <v>144</v>
      </c>
      <c r="C52" s="1" t="s">
        <v>19</v>
      </c>
      <c r="D52" s="1">
        <v>12</v>
      </c>
      <c r="E52" s="1" t="s">
        <v>20</v>
      </c>
      <c r="F52" t="s">
        <v>145</v>
      </c>
      <c r="G52" s="1" t="s">
        <v>146</v>
      </c>
    </row>
    <row r="53" spans="1:7" x14ac:dyDescent="0.2">
      <c r="A53" s="1">
        <v>61701</v>
      </c>
      <c r="B53" s="1" t="s">
        <v>147</v>
      </c>
      <c r="C53" s="1" t="s">
        <v>19</v>
      </c>
      <c r="D53" s="1">
        <v>12</v>
      </c>
      <c r="E53" s="1" t="s">
        <v>20</v>
      </c>
      <c r="F53" s="1" t="s">
        <v>148</v>
      </c>
      <c r="G53" s="1" t="s">
        <v>149</v>
      </c>
    </row>
    <row r="54" spans="1:7" x14ac:dyDescent="0.2">
      <c r="A54" s="1">
        <v>61706</v>
      </c>
      <c r="B54" s="1" t="s">
        <v>150</v>
      </c>
      <c r="C54" s="1" t="s">
        <v>19</v>
      </c>
      <c r="D54" s="1">
        <v>12</v>
      </c>
      <c r="E54" s="1" t="s">
        <v>20</v>
      </c>
      <c r="F54" t="s">
        <v>151</v>
      </c>
      <c r="G54" s="1" t="s">
        <v>152</v>
      </c>
    </row>
    <row r="55" spans="1:7" x14ac:dyDescent="0.2">
      <c r="A55" s="1">
        <v>61711</v>
      </c>
      <c r="B55" s="1" t="s">
        <v>153</v>
      </c>
      <c r="C55" s="1" t="s">
        <v>19</v>
      </c>
      <c r="D55" s="1">
        <v>12</v>
      </c>
      <c r="E55" s="1" t="s">
        <v>20</v>
      </c>
      <c r="F55" s="1" t="s">
        <v>154</v>
      </c>
      <c r="G55" s="1" t="s">
        <v>155</v>
      </c>
    </row>
    <row r="56" spans="1:7" x14ac:dyDescent="0.2">
      <c r="A56" s="1">
        <v>61716</v>
      </c>
      <c r="B56" s="1" t="s">
        <v>156</v>
      </c>
      <c r="C56" s="1" t="s">
        <v>19</v>
      </c>
      <c r="D56" s="1">
        <v>12</v>
      </c>
      <c r="E56" s="1" t="s">
        <v>20</v>
      </c>
      <c r="F56" s="1" t="s">
        <v>157</v>
      </c>
      <c r="G56" s="1" t="s">
        <v>158</v>
      </c>
    </row>
    <row r="57" spans="1:7" x14ac:dyDescent="0.2">
      <c r="A57" s="1">
        <v>61821</v>
      </c>
      <c r="B57" s="1" t="s">
        <v>159</v>
      </c>
      <c r="C57" s="1" t="s">
        <v>19</v>
      </c>
      <c r="D57" s="1">
        <v>12</v>
      </c>
      <c r="E57" s="1" t="s">
        <v>20</v>
      </c>
      <c r="F57" s="1" t="s">
        <v>160</v>
      </c>
      <c r="G57" s="1" t="s">
        <v>161</v>
      </c>
    </row>
    <row r="58" spans="1:7" x14ac:dyDescent="0.2">
      <c r="A58" s="1">
        <v>61826</v>
      </c>
      <c r="B58" s="1" t="s">
        <v>162</v>
      </c>
      <c r="C58" s="1" t="s">
        <v>19</v>
      </c>
      <c r="D58" s="1">
        <v>12</v>
      </c>
      <c r="E58" s="1" t="s">
        <v>20</v>
      </c>
      <c r="F58" t="s">
        <v>163</v>
      </c>
      <c r="G58" s="1" t="s">
        <v>164</v>
      </c>
    </row>
    <row r="59" spans="1:7" x14ac:dyDescent="0.2">
      <c r="A59" s="1">
        <v>65033</v>
      </c>
      <c r="B59" s="1" t="s">
        <v>165</v>
      </c>
      <c r="C59" s="1" t="s">
        <v>19</v>
      </c>
      <c r="D59" s="1">
        <v>12</v>
      </c>
      <c r="E59" s="1" t="s">
        <v>20</v>
      </c>
      <c r="F59" s="1" t="s">
        <v>166</v>
      </c>
      <c r="G59" s="1" t="s">
        <v>167</v>
      </c>
    </row>
    <row r="60" spans="1:7" x14ac:dyDescent="0.2">
      <c r="A60" s="1">
        <v>61831</v>
      </c>
      <c r="B60" s="1" t="s">
        <v>168</v>
      </c>
      <c r="C60" s="1" t="s">
        <v>19</v>
      </c>
      <c r="D60" s="1">
        <v>12</v>
      </c>
      <c r="E60" s="1" t="s">
        <v>20</v>
      </c>
      <c r="F60" t="s">
        <v>169</v>
      </c>
      <c r="G60" s="1" t="s">
        <v>170</v>
      </c>
    </row>
    <row r="61" spans="1:7" x14ac:dyDescent="0.2">
      <c r="A61" s="1">
        <v>61836</v>
      </c>
      <c r="B61" s="1" t="s">
        <v>171</v>
      </c>
      <c r="C61" s="1" t="s">
        <v>19</v>
      </c>
      <c r="D61" s="1">
        <v>12</v>
      </c>
      <c r="E61" s="1" t="s">
        <v>20</v>
      </c>
      <c r="F61" s="1" t="s">
        <v>172</v>
      </c>
      <c r="G61" s="1" t="s">
        <v>173</v>
      </c>
    </row>
    <row r="62" spans="1:7" x14ac:dyDescent="0.2">
      <c r="A62" s="1">
        <v>61841</v>
      </c>
      <c r="B62" s="1" t="s">
        <v>174</v>
      </c>
      <c r="C62" s="1" t="s">
        <v>19</v>
      </c>
      <c r="D62" s="1">
        <v>12</v>
      </c>
      <c r="E62" s="1" t="s">
        <v>20</v>
      </c>
      <c r="F62" s="1" t="s">
        <v>175</v>
      </c>
      <c r="G62" s="1" t="s">
        <v>176</v>
      </c>
    </row>
    <row r="63" spans="1:7" x14ac:dyDescent="0.2">
      <c r="A63" s="1">
        <v>61846</v>
      </c>
      <c r="B63" s="1" t="s">
        <v>177</v>
      </c>
      <c r="C63" s="1" t="s">
        <v>19</v>
      </c>
      <c r="D63" s="1">
        <v>12</v>
      </c>
      <c r="E63" s="1" t="s">
        <v>20</v>
      </c>
      <c r="F63" s="1" t="s">
        <v>178</v>
      </c>
      <c r="G63" s="1" t="s">
        <v>179</v>
      </c>
    </row>
    <row r="64" spans="1:7" x14ac:dyDescent="0.2">
      <c r="A64" s="1">
        <v>61851</v>
      </c>
      <c r="B64" s="1" t="s">
        <v>180</v>
      </c>
      <c r="C64" s="1" t="s">
        <v>19</v>
      </c>
      <c r="D64" s="1">
        <v>12</v>
      </c>
      <c r="E64" s="1" t="s">
        <v>20</v>
      </c>
      <c r="F64" s="1" t="s">
        <v>181</v>
      </c>
      <c r="G64" s="1" t="s">
        <v>182</v>
      </c>
    </row>
    <row r="65" spans="1:7" x14ac:dyDescent="0.2">
      <c r="A65" s="1">
        <v>61856</v>
      </c>
      <c r="B65" s="1" t="s">
        <v>183</v>
      </c>
      <c r="C65" s="1" t="s">
        <v>19</v>
      </c>
      <c r="D65" s="1">
        <v>12</v>
      </c>
      <c r="E65" s="1" t="s">
        <v>20</v>
      </c>
      <c r="F65" s="1" t="s">
        <v>184</v>
      </c>
      <c r="G65" s="1" t="s">
        <v>185</v>
      </c>
    </row>
    <row r="66" spans="1:7" x14ac:dyDescent="0.2">
      <c r="A66" s="1">
        <v>61861</v>
      </c>
      <c r="B66" s="1" t="s">
        <v>186</v>
      </c>
      <c r="C66" s="1" t="s">
        <v>19</v>
      </c>
      <c r="D66" s="1">
        <v>12</v>
      </c>
      <c r="E66" s="1" t="s">
        <v>20</v>
      </c>
      <c r="F66" s="1" t="s">
        <v>187</v>
      </c>
      <c r="G66" s="1" t="s">
        <v>188</v>
      </c>
    </row>
    <row r="67" spans="1:7" x14ac:dyDescent="0.2">
      <c r="A67" s="1">
        <v>61866</v>
      </c>
      <c r="B67" s="1" t="s">
        <v>189</v>
      </c>
      <c r="C67" s="1" t="s">
        <v>19</v>
      </c>
      <c r="D67" s="1">
        <v>12</v>
      </c>
      <c r="E67" s="1" t="s">
        <v>20</v>
      </c>
      <c r="F67" s="1" t="s">
        <v>190</v>
      </c>
      <c r="G67" s="1" t="s">
        <v>191</v>
      </c>
    </row>
    <row r="68" spans="1:7" x14ac:dyDescent="0.2">
      <c r="A68" s="1">
        <v>61886</v>
      </c>
      <c r="B68" s="1" t="s">
        <v>192</v>
      </c>
      <c r="C68" s="1" t="s">
        <v>19</v>
      </c>
      <c r="D68" s="1">
        <v>12</v>
      </c>
      <c r="E68" s="1" t="s">
        <v>20</v>
      </c>
      <c r="F68" s="1" t="s">
        <v>193</v>
      </c>
      <c r="G68" s="1" t="s">
        <v>194</v>
      </c>
    </row>
    <row r="69" spans="1:7" x14ac:dyDescent="0.2">
      <c r="A69" s="1">
        <v>61891</v>
      </c>
      <c r="B69" s="1" t="s">
        <v>195</v>
      </c>
      <c r="C69" s="1" t="s">
        <v>19</v>
      </c>
      <c r="D69" s="1">
        <v>12</v>
      </c>
      <c r="E69" s="1" t="s">
        <v>20</v>
      </c>
      <c r="F69" s="1" t="s">
        <v>196</v>
      </c>
      <c r="G69" s="1" t="s">
        <v>197</v>
      </c>
    </row>
    <row r="70" spans="1:7" x14ac:dyDescent="0.2">
      <c r="A70" s="1">
        <v>61911</v>
      </c>
      <c r="B70" s="1" t="s">
        <v>198</v>
      </c>
      <c r="C70" s="1" t="s">
        <v>19</v>
      </c>
      <c r="D70" s="1">
        <v>12</v>
      </c>
      <c r="E70" s="1" t="s">
        <v>20</v>
      </c>
      <c r="F70" s="1" t="s">
        <v>199</v>
      </c>
      <c r="G70" s="1" t="s">
        <v>200</v>
      </c>
    </row>
    <row r="71" spans="1:7" x14ac:dyDescent="0.2">
      <c r="A71" s="1">
        <v>61916</v>
      </c>
      <c r="B71" s="1" t="s">
        <v>201</v>
      </c>
      <c r="C71" s="1" t="s">
        <v>19</v>
      </c>
      <c r="D71" s="1">
        <v>12</v>
      </c>
      <c r="E71" s="1" t="s">
        <v>20</v>
      </c>
      <c r="F71" s="1" t="s">
        <v>202</v>
      </c>
      <c r="G71" s="1" t="s">
        <v>203</v>
      </c>
    </row>
    <row r="72" spans="1:7" x14ac:dyDescent="0.2">
      <c r="A72" s="1">
        <v>61936</v>
      </c>
      <c r="B72" s="1" t="s">
        <v>204</v>
      </c>
      <c r="C72" s="1" t="s">
        <v>19</v>
      </c>
      <c r="D72" s="1">
        <v>12</v>
      </c>
      <c r="E72" s="1" t="s">
        <v>20</v>
      </c>
      <c r="F72" s="1" t="s">
        <v>205</v>
      </c>
      <c r="G72" s="1" t="s">
        <v>206</v>
      </c>
    </row>
    <row r="73" spans="1:7" x14ac:dyDescent="0.2">
      <c r="A73" s="1">
        <v>61941</v>
      </c>
      <c r="B73" s="1" t="s">
        <v>207</v>
      </c>
      <c r="C73" s="1" t="s">
        <v>19</v>
      </c>
      <c r="D73" s="1">
        <v>12</v>
      </c>
      <c r="E73" s="1" t="s">
        <v>20</v>
      </c>
      <c r="F73" s="1" t="s">
        <v>208</v>
      </c>
      <c r="G73" s="1" t="s">
        <v>209</v>
      </c>
    </row>
    <row r="74" spans="1:7" x14ac:dyDescent="0.2">
      <c r="A74" s="1">
        <v>61961</v>
      </c>
      <c r="B74" s="1" t="s">
        <v>210</v>
      </c>
      <c r="C74" s="1" t="s">
        <v>19</v>
      </c>
      <c r="D74" s="1">
        <v>12</v>
      </c>
      <c r="E74" s="1" t="s">
        <v>20</v>
      </c>
      <c r="F74" s="1" t="s">
        <v>211</v>
      </c>
      <c r="G74" s="1" t="s">
        <v>212</v>
      </c>
    </row>
    <row r="75" spans="1:7" x14ac:dyDescent="0.2">
      <c r="A75" s="1">
        <v>61966</v>
      </c>
      <c r="B75" s="1" t="s">
        <v>213</v>
      </c>
      <c r="C75" s="1" t="s">
        <v>19</v>
      </c>
      <c r="D75" s="1">
        <v>12</v>
      </c>
      <c r="E75" s="1" t="s">
        <v>20</v>
      </c>
      <c r="F75" s="1" t="s">
        <v>214</v>
      </c>
      <c r="G75" s="1" t="s">
        <v>215</v>
      </c>
    </row>
    <row r="76" spans="1:7" x14ac:dyDescent="0.2">
      <c r="A76" s="1">
        <v>61986</v>
      </c>
      <c r="B76" s="1" t="s">
        <v>216</v>
      </c>
      <c r="C76" s="1" t="s">
        <v>19</v>
      </c>
      <c r="D76" s="1">
        <v>12</v>
      </c>
      <c r="E76" s="1" t="s">
        <v>20</v>
      </c>
      <c r="F76" s="1" t="s">
        <v>217</v>
      </c>
      <c r="G76" s="1" t="s">
        <v>218</v>
      </c>
    </row>
    <row r="77" spans="1:7" x14ac:dyDescent="0.2">
      <c r="A77" s="1">
        <v>61991</v>
      </c>
      <c r="B77" s="1" t="s">
        <v>219</v>
      </c>
      <c r="C77" s="1" t="s">
        <v>19</v>
      </c>
      <c r="D77" s="1">
        <v>12</v>
      </c>
      <c r="E77" s="1" t="s">
        <v>20</v>
      </c>
      <c r="F77" s="1" t="s">
        <v>220</v>
      </c>
      <c r="G77" s="1" t="s">
        <v>221</v>
      </c>
    </row>
    <row r="78" spans="1:7" x14ac:dyDescent="0.2">
      <c r="A78" s="1">
        <v>62046</v>
      </c>
      <c r="B78" s="1" t="s">
        <v>222</v>
      </c>
      <c r="C78" s="1" t="s">
        <v>19</v>
      </c>
      <c r="D78" s="1">
        <v>12</v>
      </c>
      <c r="E78" s="1" t="s">
        <v>20</v>
      </c>
      <c r="F78" s="1" t="s">
        <v>223</v>
      </c>
      <c r="G78" s="1" t="s">
        <v>224</v>
      </c>
    </row>
    <row r="79" spans="1:7" x14ac:dyDescent="0.2">
      <c r="A79" s="1">
        <v>62071</v>
      </c>
      <c r="B79" s="1" t="s">
        <v>225</v>
      </c>
      <c r="C79" s="1" t="s">
        <v>19</v>
      </c>
      <c r="D79" s="1">
        <v>12</v>
      </c>
      <c r="E79" s="1" t="s">
        <v>20</v>
      </c>
      <c r="F79" s="1" t="s">
        <v>226</v>
      </c>
      <c r="G79" s="1" t="s">
        <v>227</v>
      </c>
    </row>
    <row r="80" spans="1:7" x14ac:dyDescent="0.2">
      <c r="A80" s="1">
        <v>62076</v>
      </c>
      <c r="B80" s="1" t="s">
        <v>228</v>
      </c>
      <c r="C80" s="1" t="s">
        <v>19</v>
      </c>
      <c r="D80" s="1">
        <v>12</v>
      </c>
      <c r="E80" s="1" t="s">
        <v>20</v>
      </c>
      <c r="F80" s="1" t="s">
        <v>229</v>
      </c>
      <c r="G80" s="1" t="s">
        <v>230</v>
      </c>
    </row>
    <row r="81" spans="1:7" x14ac:dyDescent="0.2">
      <c r="A81" s="1">
        <v>62096</v>
      </c>
      <c r="B81" s="1" t="s">
        <v>231</v>
      </c>
      <c r="C81" s="1" t="s">
        <v>19</v>
      </c>
      <c r="D81" s="1">
        <v>12</v>
      </c>
      <c r="E81" s="1" t="s">
        <v>20</v>
      </c>
      <c r="F81" s="1" t="s">
        <v>232</v>
      </c>
      <c r="G81" s="1" t="s">
        <v>233</v>
      </c>
    </row>
    <row r="82" spans="1:7" x14ac:dyDescent="0.2">
      <c r="A82" s="1">
        <v>62101</v>
      </c>
      <c r="B82" s="1" t="s">
        <v>234</v>
      </c>
      <c r="C82" s="1" t="s">
        <v>19</v>
      </c>
      <c r="D82" s="1">
        <v>12</v>
      </c>
      <c r="E82" s="1" t="s">
        <v>20</v>
      </c>
      <c r="F82" s="1" t="s">
        <v>235</v>
      </c>
      <c r="G82" s="1" t="s">
        <v>236</v>
      </c>
    </row>
    <row r="83" spans="1:7" x14ac:dyDescent="0.2">
      <c r="A83" s="1">
        <v>62121</v>
      </c>
      <c r="B83" s="1" t="s">
        <v>237</v>
      </c>
      <c r="C83" s="1" t="s">
        <v>19</v>
      </c>
      <c r="D83" s="1">
        <v>12</v>
      </c>
      <c r="E83" s="1" t="s">
        <v>20</v>
      </c>
      <c r="F83" s="1" t="s">
        <v>238</v>
      </c>
      <c r="G83" s="1" t="s">
        <v>239</v>
      </c>
    </row>
    <row r="84" spans="1:7" x14ac:dyDescent="0.2">
      <c r="A84" s="1">
        <v>62126</v>
      </c>
      <c r="B84" s="1" t="s">
        <v>240</v>
      </c>
      <c r="C84" s="1" t="s">
        <v>19</v>
      </c>
      <c r="D84" s="1">
        <v>12</v>
      </c>
      <c r="E84" s="1" t="s">
        <v>20</v>
      </c>
      <c r="F84" s="1" t="s">
        <v>241</v>
      </c>
      <c r="G84" s="1" t="s">
        <v>242</v>
      </c>
    </row>
    <row r="85" spans="1:7" x14ac:dyDescent="0.2">
      <c r="A85" s="1">
        <v>62146</v>
      </c>
      <c r="B85" s="1" t="s">
        <v>243</v>
      </c>
      <c r="C85" s="1" t="s">
        <v>19</v>
      </c>
      <c r="D85" s="1">
        <v>12</v>
      </c>
      <c r="E85" s="1" t="s">
        <v>20</v>
      </c>
      <c r="F85" s="1" t="s">
        <v>244</v>
      </c>
      <c r="G85" s="1" t="s">
        <v>245</v>
      </c>
    </row>
    <row r="86" spans="1:7" x14ac:dyDescent="0.2">
      <c r="A86" s="1">
        <v>62151</v>
      </c>
      <c r="B86" s="1" t="s">
        <v>246</v>
      </c>
      <c r="C86" s="1" t="s">
        <v>19</v>
      </c>
      <c r="D86" s="1">
        <v>12</v>
      </c>
      <c r="E86" s="1" t="s">
        <v>20</v>
      </c>
      <c r="F86" s="1" t="s">
        <v>247</v>
      </c>
      <c r="G86" s="1" t="s">
        <v>248</v>
      </c>
    </row>
    <row r="87" spans="1:7" x14ac:dyDescent="0.2">
      <c r="A87" s="1">
        <v>62256</v>
      </c>
      <c r="B87" s="1" t="s">
        <v>249</v>
      </c>
      <c r="C87" s="1" t="s">
        <v>19</v>
      </c>
      <c r="D87" s="1">
        <v>12</v>
      </c>
      <c r="E87" s="1" t="s">
        <v>20</v>
      </c>
      <c r="F87" s="1" t="s">
        <v>250</v>
      </c>
      <c r="G87" s="1" t="s">
        <v>434</v>
      </c>
    </row>
    <row r="88" spans="1:7" x14ac:dyDescent="0.2">
      <c r="A88" s="1">
        <v>62261</v>
      </c>
      <c r="B88" s="1" t="s">
        <v>251</v>
      </c>
      <c r="C88" s="1" t="s">
        <v>19</v>
      </c>
      <c r="D88" s="1">
        <v>12</v>
      </c>
      <c r="E88" s="1" t="s">
        <v>20</v>
      </c>
      <c r="F88" s="1" t="s">
        <v>252</v>
      </c>
      <c r="G88" s="1" t="s">
        <v>435</v>
      </c>
    </row>
    <row r="89" spans="1:7" x14ac:dyDescent="0.2">
      <c r="A89" s="1">
        <v>62266</v>
      </c>
      <c r="B89" s="1" t="s">
        <v>253</v>
      </c>
      <c r="C89" s="1" t="s">
        <v>19</v>
      </c>
      <c r="D89" s="1">
        <v>12</v>
      </c>
      <c r="E89" s="1" t="s">
        <v>20</v>
      </c>
      <c r="F89" s="1" t="s">
        <v>254</v>
      </c>
      <c r="G89" s="1" t="s">
        <v>436</v>
      </c>
    </row>
    <row r="90" spans="1:7" x14ac:dyDescent="0.2">
      <c r="A90" s="1">
        <v>62268</v>
      </c>
      <c r="B90" s="1" t="s">
        <v>437</v>
      </c>
      <c r="C90" s="1" t="s">
        <v>19</v>
      </c>
      <c r="D90" s="1">
        <v>12</v>
      </c>
      <c r="E90" s="1" t="s">
        <v>20</v>
      </c>
      <c r="F90" s="1" t="s">
        <v>453</v>
      </c>
      <c r="G90" s="1" t="s">
        <v>438</v>
      </c>
    </row>
    <row r="91" spans="1:7" x14ac:dyDescent="0.2">
      <c r="A91" s="1">
        <v>62271</v>
      </c>
      <c r="B91" s="1" t="s">
        <v>439</v>
      </c>
      <c r="C91" s="1" t="s">
        <v>19</v>
      </c>
      <c r="D91" s="1">
        <v>12</v>
      </c>
      <c r="E91" s="1" t="s">
        <v>20</v>
      </c>
      <c r="F91" s="1" t="s">
        <v>454</v>
      </c>
      <c r="G91" s="1" t="s">
        <v>440</v>
      </c>
    </row>
    <row r="92" spans="1:7" x14ac:dyDescent="0.2">
      <c r="A92" s="1">
        <v>65088</v>
      </c>
      <c r="B92" s="1" t="s">
        <v>441</v>
      </c>
      <c r="C92" s="1" t="s">
        <v>19</v>
      </c>
      <c r="D92" s="1">
        <v>12</v>
      </c>
      <c r="E92" s="1" t="s">
        <v>20</v>
      </c>
      <c r="F92" s="1" t="s">
        <v>455</v>
      </c>
      <c r="G92" s="1" t="s">
        <v>255</v>
      </c>
    </row>
    <row r="93" spans="1:7" x14ac:dyDescent="0.2">
      <c r="A93" s="1">
        <v>62276</v>
      </c>
      <c r="B93" s="1" t="s">
        <v>442</v>
      </c>
      <c r="C93" s="1" t="s">
        <v>19</v>
      </c>
      <c r="D93" s="1">
        <v>12</v>
      </c>
      <c r="E93" s="1" t="s">
        <v>20</v>
      </c>
      <c r="F93" s="1" t="s">
        <v>456</v>
      </c>
      <c r="G93" s="1" t="s">
        <v>443</v>
      </c>
    </row>
    <row r="94" spans="1:7" x14ac:dyDescent="0.2">
      <c r="A94" s="1">
        <v>67051</v>
      </c>
      <c r="B94" s="1" t="s">
        <v>410</v>
      </c>
      <c r="C94" s="1" t="s">
        <v>19</v>
      </c>
      <c r="D94" s="1">
        <v>2</v>
      </c>
      <c r="E94" s="1" t="s">
        <v>308</v>
      </c>
      <c r="F94" s="1" t="s">
        <v>464</v>
      </c>
      <c r="G94" s="1" t="s">
        <v>462</v>
      </c>
    </row>
    <row r="95" spans="1:7" x14ac:dyDescent="0.2">
      <c r="A95" s="1">
        <v>67056</v>
      </c>
      <c r="B95" s="1" t="s">
        <v>411</v>
      </c>
      <c r="C95" s="1" t="s">
        <v>19</v>
      </c>
      <c r="D95" s="1">
        <v>12</v>
      </c>
      <c r="E95" s="1" t="s">
        <v>20</v>
      </c>
      <c r="F95" s="1" t="s">
        <v>412</v>
      </c>
      <c r="G95" s="1" t="s">
        <v>444</v>
      </c>
    </row>
    <row r="96" spans="1:7" x14ac:dyDescent="0.2">
      <c r="A96" s="1">
        <v>67061</v>
      </c>
      <c r="B96" s="1" t="s">
        <v>413</v>
      </c>
      <c r="C96" s="1" t="s">
        <v>19</v>
      </c>
      <c r="D96" s="1">
        <v>12</v>
      </c>
      <c r="E96" s="1" t="s">
        <v>20</v>
      </c>
      <c r="F96" s="1" t="s">
        <v>414</v>
      </c>
      <c r="G96" s="1" t="s">
        <v>445</v>
      </c>
    </row>
    <row r="97" spans="1:7" x14ac:dyDescent="0.2">
      <c r="A97" s="1">
        <v>67066</v>
      </c>
      <c r="B97" s="1" t="s">
        <v>415</v>
      </c>
      <c r="C97" s="1" t="s">
        <v>19</v>
      </c>
      <c r="D97" s="1">
        <v>12</v>
      </c>
      <c r="E97" s="1" t="s">
        <v>20</v>
      </c>
      <c r="F97" s="1" t="s">
        <v>416</v>
      </c>
      <c r="G97" s="1" t="s">
        <v>417</v>
      </c>
    </row>
    <row r="98" spans="1:7" x14ac:dyDescent="0.2">
      <c r="A98" s="1">
        <v>67071</v>
      </c>
      <c r="B98" s="1" t="s">
        <v>418</v>
      </c>
      <c r="C98" s="1" t="s">
        <v>19</v>
      </c>
      <c r="D98" s="1">
        <v>12</v>
      </c>
      <c r="E98" s="1" t="s">
        <v>20</v>
      </c>
      <c r="F98" s="1" t="s">
        <v>419</v>
      </c>
      <c r="G98" s="1" t="s">
        <v>420</v>
      </c>
    </row>
    <row r="99" spans="1:7" x14ac:dyDescent="0.2">
      <c r="A99" s="1">
        <v>62321</v>
      </c>
      <c r="B99" s="1" t="s">
        <v>274</v>
      </c>
      <c r="C99" s="1" t="s">
        <v>19</v>
      </c>
      <c r="D99" s="1">
        <v>12</v>
      </c>
      <c r="E99" s="1" t="s">
        <v>20</v>
      </c>
      <c r="F99" s="1" t="s">
        <v>275</v>
      </c>
      <c r="G99" s="1" t="s">
        <v>276</v>
      </c>
    </row>
    <row r="100" spans="1:7" x14ac:dyDescent="0.2">
      <c r="A100" s="1">
        <v>62326</v>
      </c>
      <c r="B100" s="1" t="s">
        <v>277</v>
      </c>
      <c r="C100" s="1" t="s">
        <v>19</v>
      </c>
      <c r="D100" s="1">
        <v>12</v>
      </c>
      <c r="E100" s="1" t="s">
        <v>20</v>
      </c>
      <c r="F100" s="1" t="s">
        <v>278</v>
      </c>
      <c r="G100" s="1" t="s">
        <v>279</v>
      </c>
    </row>
    <row r="101" spans="1:7" x14ac:dyDescent="0.2">
      <c r="A101" s="1">
        <v>62331</v>
      </c>
      <c r="B101" s="1" t="s">
        <v>280</v>
      </c>
      <c r="C101" s="1" t="s">
        <v>19</v>
      </c>
      <c r="D101" s="1">
        <v>12</v>
      </c>
      <c r="E101" s="1" t="s">
        <v>20</v>
      </c>
      <c r="F101" s="1" t="s">
        <v>281</v>
      </c>
      <c r="G101" s="1" t="s">
        <v>282</v>
      </c>
    </row>
    <row r="102" spans="1:7" x14ac:dyDescent="0.2">
      <c r="A102" s="1">
        <v>62336</v>
      </c>
      <c r="B102" s="1" t="s">
        <v>283</v>
      </c>
      <c r="C102" s="1" t="s">
        <v>19</v>
      </c>
      <c r="D102" s="1">
        <v>12</v>
      </c>
      <c r="E102" s="1" t="s">
        <v>20</v>
      </c>
      <c r="F102" s="6" t="s">
        <v>284</v>
      </c>
      <c r="G102" s="1" t="s">
        <v>285</v>
      </c>
    </row>
    <row r="103" spans="1:7" x14ac:dyDescent="0.2">
      <c r="A103" s="1">
        <v>62341</v>
      </c>
      <c r="B103" s="1" t="s">
        <v>286</v>
      </c>
      <c r="C103" s="1" t="s">
        <v>19</v>
      </c>
      <c r="D103" s="1">
        <v>12</v>
      </c>
      <c r="E103" s="1" t="s">
        <v>20</v>
      </c>
      <c r="F103" t="s">
        <v>287</v>
      </c>
      <c r="G103" s="1" t="s">
        <v>288</v>
      </c>
    </row>
    <row r="104" spans="1:7" x14ac:dyDescent="0.2">
      <c r="A104" s="1">
        <v>62346</v>
      </c>
      <c r="B104" s="1" t="s">
        <v>289</v>
      </c>
      <c r="C104" s="1" t="s">
        <v>19</v>
      </c>
      <c r="D104" s="1">
        <v>12</v>
      </c>
      <c r="E104" s="1" t="s">
        <v>20</v>
      </c>
      <c r="F104" t="s">
        <v>290</v>
      </c>
      <c r="G104" s="1" t="s">
        <v>291</v>
      </c>
    </row>
    <row r="105" spans="1:7" x14ac:dyDescent="0.2">
      <c r="A105" s="1">
        <v>62351</v>
      </c>
      <c r="B105" s="1" t="s">
        <v>292</v>
      </c>
      <c r="C105" s="1" t="s">
        <v>19</v>
      </c>
      <c r="D105" s="1">
        <v>12</v>
      </c>
      <c r="E105" s="1" t="s">
        <v>20</v>
      </c>
      <c r="F105" s="1" t="s">
        <v>293</v>
      </c>
      <c r="G105" s="1" t="s">
        <v>294</v>
      </c>
    </row>
    <row r="106" spans="1:7" x14ac:dyDescent="0.2">
      <c r="A106" s="1">
        <v>62356</v>
      </c>
      <c r="B106" s="1" t="s">
        <v>295</v>
      </c>
      <c r="C106" s="1" t="s">
        <v>19</v>
      </c>
      <c r="D106" s="1">
        <v>12</v>
      </c>
      <c r="E106" s="1" t="s">
        <v>20</v>
      </c>
      <c r="F106" s="1" t="s">
        <v>296</v>
      </c>
      <c r="G106" s="1" t="s">
        <v>297</v>
      </c>
    </row>
    <row r="107" spans="1:7" x14ac:dyDescent="0.2">
      <c r="A107" s="1">
        <v>62361</v>
      </c>
      <c r="B107" s="1" t="s">
        <v>298</v>
      </c>
      <c r="C107" s="1" t="s">
        <v>19</v>
      </c>
      <c r="D107" s="1">
        <v>12</v>
      </c>
      <c r="E107" s="1" t="s">
        <v>20</v>
      </c>
      <c r="F107" s="1" t="s">
        <v>299</v>
      </c>
      <c r="G107" s="1" t="s">
        <v>300</v>
      </c>
    </row>
    <row r="108" spans="1:7" x14ac:dyDescent="0.2">
      <c r="A108" s="1">
        <v>62366</v>
      </c>
      <c r="B108" s="1" t="s">
        <v>301</v>
      </c>
      <c r="C108" s="1" t="s">
        <v>19</v>
      </c>
      <c r="D108" s="1">
        <v>12</v>
      </c>
      <c r="E108" s="1" t="s">
        <v>20</v>
      </c>
      <c r="F108" s="1" t="s">
        <v>302</v>
      </c>
      <c r="G108" s="1" t="s">
        <v>303</v>
      </c>
    </row>
    <row r="109" spans="1:7" x14ac:dyDescent="0.2">
      <c r="A109" s="1">
        <v>62371</v>
      </c>
      <c r="B109" s="1" t="s">
        <v>304</v>
      </c>
      <c r="C109" s="1" t="s">
        <v>19</v>
      </c>
      <c r="D109" s="1">
        <v>12</v>
      </c>
      <c r="E109" s="1" t="s">
        <v>20</v>
      </c>
      <c r="F109" s="1" t="s">
        <v>305</v>
      </c>
      <c r="G109" s="1" t="s">
        <v>306</v>
      </c>
    </row>
    <row r="110" spans="1:7" x14ac:dyDescent="0.2">
      <c r="A110" s="1">
        <v>62376</v>
      </c>
      <c r="B110" s="1" t="s">
        <v>307</v>
      </c>
      <c r="C110" s="1" t="s">
        <v>19</v>
      </c>
      <c r="D110" s="1">
        <v>2</v>
      </c>
      <c r="E110" s="1" t="s">
        <v>308</v>
      </c>
      <c r="F110" s="1" t="s">
        <v>464</v>
      </c>
      <c r="G110" s="1" t="s">
        <v>463</v>
      </c>
    </row>
    <row r="111" spans="1:7" x14ac:dyDescent="0.2">
      <c r="A111" s="1">
        <v>62311</v>
      </c>
      <c r="B111" s="1" t="s">
        <v>309</v>
      </c>
      <c r="C111" s="1" t="s">
        <v>19</v>
      </c>
      <c r="D111" s="1">
        <v>12</v>
      </c>
      <c r="E111" s="1" t="s">
        <v>20</v>
      </c>
      <c r="F111" s="1" t="s">
        <v>310</v>
      </c>
      <c r="G111" s="1" t="s">
        <v>311</v>
      </c>
    </row>
    <row r="112" spans="1:7" x14ac:dyDescent="0.2">
      <c r="A112" s="1">
        <v>62316</v>
      </c>
      <c r="B112" s="1" t="s">
        <v>312</v>
      </c>
      <c r="C112" s="1" t="s">
        <v>19</v>
      </c>
      <c r="D112" s="1">
        <v>12</v>
      </c>
      <c r="E112" s="1" t="s">
        <v>20</v>
      </c>
      <c r="F112" s="1" t="s">
        <v>313</v>
      </c>
      <c r="G112" s="1" t="s">
        <v>314</v>
      </c>
    </row>
    <row r="113" spans="1:7" x14ac:dyDescent="0.2">
      <c r="A113" s="1"/>
      <c r="B113" s="1"/>
      <c r="C113" s="1"/>
      <c r="D113" s="1"/>
      <c r="E113" s="1"/>
      <c r="G113" s="1"/>
    </row>
    <row r="114" spans="1:7" x14ac:dyDescent="0.2">
      <c r="A114" s="1"/>
      <c r="B114" s="1"/>
      <c r="C114" s="1"/>
      <c r="D114" s="1"/>
      <c r="E114" s="1"/>
      <c r="F114" s="6"/>
      <c r="G114" s="1"/>
    </row>
    <row r="115" spans="1:7" x14ac:dyDescent="0.2">
      <c r="A115" s="1"/>
      <c r="B115" s="1"/>
      <c r="C115" s="1"/>
      <c r="D115" s="1"/>
      <c r="E115" s="1"/>
      <c r="G115" s="1"/>
    </row>
    <row r="116" spans="1:7" x14ac:dyDescent="0.2">
      <c r="A116" s="1"/>
      <c r="B116" s="1"/>
      <c r="C116" s="1"/>
      <c r="D116" s="1"/>
      <c r="E116" s="1"/>
      <c r="G116" s="1"/>
    </row>
    <row r="117" spans="1:7" x14ac:dyDescent="0.2">
      <c r="A117" s="1"/>
      <c r="B117" s="1"/>
      <c r="C117" s="1"/>
      <c r="D117" s="1"/>
      <c r="E117" s="1"/>
      <c r="G117" s="1"/>
    </row>
    <row r="118" spans="1:7" x14ac:dyDescent="0.2">
      <c r="A118" s="1"/>
      <c r="B118" s="1"/>
      <c r="C118" s="1"/>
      <c r="D118" s="1"/>
      <c r="E118" s="1"/>
      <c r="G118" s="1"/>
    </row>
    <row r="119" spans="1:7" x14ac:dyDescent="0.2">
      <c r="A119" s="1"/>
      <c r="B119" s="1"/>
      <c r="C119" s="1"/>
      <c r="D119" s="1"/>
      <c r="E119" s="1"/>
      <c r="F119" s="6"/>
      <c r="G119" s="1"/>
    </row>
    <row r="120" spans="1:7" x14ac:dyDescent="0.2">
      <c r="A120" s="1"/>
      <c r="B120" s="1"/>
      <c r="C120" s="1"/>
      <c r="D120" s="1"/>
      <c r="E120" s="1"/>
      <c r="G120" s="1"/>
    </row>
    <row r="121" spans="1:7" x14ac:dyDescent="0.2">
      <c r="A121" s="1"/>
      <c r="B121" s="1"/>
      <c r="C121" s="1"/>
      <c r="D121" s="1"/>
      <c r="E121" s="1"/>
      <c r="G121" s="1"/>
    </row>
    <row r="122" spans="1:7" x14ac:dyDescent="0.2">
      <c r="A122" s="1"/>
      <c r="B122" s="1"/>
      <c r="C122" s="1"/>
      <c r="D122" s="1"/>
      <c r="E122" s="1"/>
      <c r="G122" s="1"/>
    </row>
    <row r="123" spans="1:7" x14ac:dyDescent="0.2">
      <c r="A123" s="1"/>
      <c r="B123" s="1"/>
      <c r="C123" s="1"/>
      <c r="D123" s="1"/>
      <c r="E123" s="1"/>
      <c r="G123" s="1"/>
    </row>
    <row r="124" spans="1:7" x14ac:dyDescent="0.2">
      <c r="A124" s="1"/>
      <c r="B124" s="1"/>
      <c r="C124" s="1"/>
      <c r="D124" s="1"/>
      <c r="E124" s="1"/>
      <c r="G124" s="1"/>
    </row>
    <row r="125" spans="1:7" x14ac:dyDescent="0.2">
      <c r="A125" s="1"/>
      <c r="B125" s="1"/>
      <c r="C125" s="1"/>
      <c r="D125" s="1"/>
      <c r="E125" s="1"/>
      <c r="G125" s="1"/>
    </row>
    <row r="126" spans="1:7" x14ac:dyDescent="0.2">
      <c r="A126" s="1"/>
      <c r="B126" s="1"/>
      <c r="C126" s="1"/>
      <c r="D126" s="1"/>
      <c r="E126" s="1"/>
      <c r="G126" s="1"/>
    </row>
    <row r="127" spans="1:7" x14ac:dyDescent="0.2">
      <c r="A127" s="1"/>
      <c r="B127" s="1"/>
      <c r="C127" s="1"/>
      <c r="D127" s="1"/>
      <c r="E127" s="1"/>
      <c r="F127" s="6"/>
      <c r="G127" s="1"/>
    </row>
    <row r="128" spans="1:7" x14ac:dyDescent="0.2">
      <c r="A128" s="1"/>
      <c r="B128" s="1"/>
      <c r="C128" s="1"/>
      <c r="D128" s="1"/>
      <c r="E128" s="1"/>
      <c r="F128" s="1"/>
      <c r="G128" s="1"/>
    </row>
    <row r="129" spans="1:7" x14ac:dyDescent="0.2">
      <c r="A129" s="1"/>
      <c r="B129" s="1"/>
      <c r="C129" s="1"/>
      <c r="D129" s="1"/>
      <c r="E129" s="1"/>
      <c r="F129" s="1"/>
      <c r="G129" s="1"/>
    </row>
    <row r="130" spans="1:7" x14ac:dyDescent="0.2">
      <c r="A130" s="1"/>
      <c r="B130" s="1"/>
      <c r="C130" s="1"/>
      <c r="D130" s="1"/>
      <c r="E130" s="1"/>
      <c r="F130" s="1"/>
      <c r="G130" s="1"/>
    </row>
    <row r="131" spans="1:7" x14ac:dyDescent="0.2">
      <c r="A131" s="1"/>
      <c r="B131" s="1"/>
      <c r="C131" s="1"/>
      <c r="D131" s="1"/>
      <c r="E131" s="1"/>
      <c r="F131" s="1"/>
      <c r="G131" s="1"/>
    </row>
    <row r="132" spans="1:7" x14ac:dyDescent="0.2">
      <c r="A132" s="1"/>
      <c r="B132" s="1"/>
      <c r="C132" s="1"/>
      <c r="D132" s="1"/>
      <c r="E132" s="1"/>
      <c r="F132" s="1"/>
      <c r="G132" s="1"/>
    </row>
    <row r="133" spans="1:7" x14ac:dyDescent="0.2">
      <c r="A133" s="1"/>
      <c r="B133" s="1"/>
      <c r="C133" s="1"/>
      <c r="D133" s="1"/>
      <c r="E133" s="1"/>
      <c r="G133" s="1"/>
    </row>
    <row r="134" spans="1:7" x14ac:dyDescent="0.2">
      <c r="A134" s="1"/>
      <c r="B134" s="1"/>
      <c r="C134" s="1"/>
      <c r="D134" s="1"/>
      <c r="E134" s="1"/>
      <c r="F134" s="6"/>
      <c r="G134" s="1"/>
    </row>
    <row r="135" spans="1:7" x14ac:dyDescent="0.2">
      <c r="A135" s="1"/>
      <c r="B135" s="1"/>
      <c r="C135" s="1"/>
      <c r="D135" s="1"/>
      <c r="E135" s="1"/>
      <c r="F135" s="1"/>
      <c r="G135" s="1"/>
    </row>
    <row r="136" spans="1:7" x14ac:dyDescent="0.2">
      <c r="A136" s="1"/>
      <c r="B136" s="1"/>
      <c r="C136" s="1"/>
      <c r="D136" s="1"/>
      <c r="E136" s="1"/>
      <c r="F136" s="1"/>
      <c r="G136" s="1"/>
    </row>
    <row r="137" spans="1:7" x14ac:dyDescent="0.2">
      <c r="A137" s="1"/>
      <c r="B137" s="1"/>
      <c r="C137" s="1"/>
      <c r="D137" s="1"/>
      <c r="E137" s="1"/>
      <c r="F137" s="1"/>
      <c r="G137" s="1"/>
    </row>
    <row r="138" spans="1:7" x14ac:dyDescent="0.2">
      <c r="A138" s="1"/>
      <c r="B138" s="1"/>
      <c r="C138" s="1"/>
      <c r="D138" s="1"/>
      <c r="E138" s="1"/>
      <c r="F138" s="1"/>
      <c r="G138" s="1"/>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5"/>
  <sheetViews>
    <sheetView workbookViewId="0">
      <pane ySplit="1" topLeftCell="A2" activePane="bottomLeft" state="frozen"/>
      <selection pane="bottomLeft"/>
    </sheetView>
  </sheetViews>
  <sheetFormatPr defaultRowHeight="11.25" x14ac:dyDescent="0.2"/>
  <cols>
    <col min="1" max="1" width="9.140625" style="10"/>
    <col min="2" max="2" width="11.140625" style="10" customWidth="1"/>
    <col min="3" max="3" width="144.85546875" style="10" customWidth="1"/>
    <col min="4" max="257" width="9.140625" style="11"/>
    <col min="258" max="258" width="11.140625" style="11" customWidth="1"/>
    <col min="259" max="259" width="144.85546875" style="11" customWidth="1"/>
    <col min="260" max="513" width="9.140625" style="11"/>
    <col min="514" max="514" width="11.140625" style="11" customWidth="1"/>
    <col min="515" max="515" width="144.85546875" style="11" customWidth="1"/>
    <col min="516" max="769" width="9.140625" style="11"/>
    <col min="770" max="770" width="11.140625" style="11" customWidth="1"/>
    <col min="771" max="771" width="144.85546875" style="11" customWidth="1"/>
    <col min="772" max="1025" width="9.140625" style="11"/>
    <col min="1026" max="1026" width="11.140625" style="11" customWidth="1"/>
    <col min="1027" max="1027" width="144.85546875" style="11" customWidth="1"/>
    <col min="1028" max="1281" width="9.140625" style="11"/>
    <col min="1282" max="1282" width="11.140625" style="11" customWidth="1"/>
    <col min="1283" max="1283" width="144.85546875" style="11" customWidth="1"/>
    <col min="1284" max="1537" width="9.140625" style="11"/>
    <col min="1538" max="1538" width="11.140625" style="11" customWidth="1"/>
    <col min="1539" max="1539" width="144.85546875" style="11" customWidth="1"/>
    <col min="1540" max="1793" width="9.140625" style="11"/>
    <col min="1794" max="1794" width="11.140625" style="11" customWidth="1"/>
    <col min="1795" max="1795" width="144.85546875" style="11" customWidth="1"/>
    <col min="1796" max="2049" width="9.140625" style="11"/>
    <col min="2050" max="2050" width="11.140625" style="11" customWidth="1"/>
    <col min="2051" max="2051" width="144.85546875" style="11" customWidth="1"/>
    <col min="2052" max="2305" width="9.140625" style="11"/>
    <col min="2306" max="2306" width="11.140625" style="11" customWidth="1"/>
    <col min="2307" max="2307" width="144.85546875" style="11" customWidth="1"/>
    <col min="2308" max="2561" width="9.140625" style="11"/>
    <col min="2562" max="2562" width="11.140625" style="11" customWidth="1"/>
    <col min="2563" max="2563" width="144.85546875" style="11" customWidth="1"/>
    <col min="2564" max="2817" width="9.140625" style="11"/>
    <col min="2818" max="2818" width="11.140625" style="11" customWidth="1"/>
    <col min="2819" max="2819" width="144.85546875" style="11" customWidth="1"/>
    <col min="2820" max="3073" width="9.140625" style="11"/>
    <col min="3074" max="3074" width="11.140625" style="11" customWidth="1"/>
    <col min="3075" max="3075" width="144.85546875" style="11" customWidth="1"/>
    <col min="3076" max="3329" width="9.140625" style="11"/>
    <col min="3330" max="3330" width="11.140625" style="11" customWidth="1"/>
    <col min="3331" max="3331" width="144.85546875" style="11" customWidth="1"/>
    <col min="3332" max="3585" width="9.140625" style="11"/>
    <col min="3586" max="3586" width="11.140625" style="11" customWidth="1"/>
    <col min="3587" max="3587" width="144.85546875" style="11" customWidth="1"/>
    <col min="3588" max="3841" width="9.140625" style="11"/>
    <col min="3842" max="3842" width="11.140625" style="11" customWidth="1"/>
    <col min="3843" max="3843" width="144.85546875" style="11" customWidth="1"/>
    <col min="3844" max="4097" width="9.140625" style="11"/>
    <col min="4098" max="4098" width="11.140625" style="11" customWidth="1"/>
    <col min="4099" max="4099" width="144.85546875" style="11" customWidth="1"/>
    <col min="4100" max="4353" width="9.140625" style="11"/>
    <col min="4354" max="4354" width="11.140625" style="11" customWidth="1"/>
    <col min="4355" max="4355" width="144.85546875" style="11" customWidth="1"/>
    <col min="4356" max="4609" width="9.140625" style="11"/>
    <col min="4610" max="4610" width="11.140625" style="11" customWidth="1"/>
    <col min="4611" max="4611" width="144.85546875" style="11" customWidth="1"/>
    <col min="4612" max="4865" width="9.140625" style="11"/>
    <col min="4866" max="4866" width="11.140625" style="11" customWidth="1"/>
    <col min="4867" max="4867" width="144.85546875" style="11" customWidth="1"/>
    <col min="4868" max="5121" width="9.140625" style="11"/>
    <col min="5122" max="5122" width="11.140625" style="11" customWidth="1"/>
    <col min="5123" max="5123" width="144.85546875" style="11" customWidth="1"/>
    <col min="5124" max="5377" width="9.140625" style="11"/>
    <col min="5378" max="5378" width="11.140625" style="11" customWidth="1"/>
    <col min="5379" max="5379" width="144.85546875" style="11" customWidth="1"/>
    <col min="5380" max="5633" width="9.140625" style="11"/>
    <col min="5634" max="5634" width="11.140625" style="11" customWidth="1"/>
    <col min="5635" max="5635" width="144.85546875" style="11" customWidth="1"/>
    <col min="5636" max="5889" width="9.140625" style="11"/>
    <col min="5890" max="5890" width="11.140625" style="11" customWidth="1"/>
    <col min="5891" max="5891" width="144.85546875" style="11" customWidth="1"/>
    <col min="5892" max="6145" width="9.140625" style="11"/>
    <col min="6146" max="6146" width="11.140625" style="11" customWidth="1"/>
    <col min="6147" max="6147" width="144.85546875" style="11" customWidth="1"/>
    <col min="6148" max="6401" width="9.140625" style="11"/>
    <col min="6402" max="6402" width="11.140625" style="11" customWidth="1"/>
    <col min="6403" max="6403" width="144.85546875" style="11" customWidth="1"/>
    <col min="6404" max="6657" width="9.140625" style="11"/>
    <col min="6658" max="6658" width="11.140625" style="11" customWidth="1"/>
    <col min="6659" max="6659" width="144.85546875" style="11" customWidth="1"/>
    <col min="6660" max="6913" width="9.140625" style="11"/>
    <col min="6914" max="6914" width="11.140625" style="11" customWidth="1"/>
    <col min="6915" max="6915" width="144.85546875" style="11" customWidth="1"/>
    <col min="6916" max="7169" width="9.140625" style="11"/>
    <col min="7170" max="7170" width="11.140625" style="11" customWidth="1"/>
    <col min="7171" max="7171" width="144.85546875" style="11" customWidth="1"/>
    <col min="7172" max="7425" width="9.140625" style="11"/>
    <col min="7426" max="7426" width="11.140625" style="11" customWidth="1"/>
    <col min="7427" max="7427" width="144.85546875" style="11" customWidth="1"/>
    <col min="7428" max="7681" width="9.140625" style="11"/>
    <col min="7682" max="7682" width="11.140625" style="11" customWidth="1"/>
    <col min="7683" max="7683" width="144.85546875" style="11" customWidth="1"/>
    <col min="7684" max="7937" width="9.140625" style="11"/>
    <col min="7938" max="7938" width="11.140625" style="11" customWidth="1"/>
    <col min="7939" max="7939" width="144.85546875" style="11" customWidth="1"/>
    <col min="7940" max="8193" width="9.140625" style="11"/>
    <col min="8194" max="8194" width="11.140625" style="11" customWidth="1"/>
    <col min="8195" max="8195" width="144.85546875" style="11" customWidth="1"/>
    <col min="8196" max="8449" width="9.140625" style="11"/>
    <col min="8450" max="8450" width="11.140625" style="11" customWidth="1"/>
    <col min="8451" max="8451" width="144.85546875" style="11" customWidth="1"/>
    <col min="8452" max="8705" width="9.140625" style="11"/>
    <col min="8706" max="8706" width="11.140625" style="11" customWidth="1"/>
    <col min="8707" max="8707" width="144.85546875" style="11" customWidth="1"/>
    <col min="8708" max="8961" width="9.140625" style="11"/>
    <col min="8962" max="8962" width="11.140625" style="11" customWidth="1"/>
    <col min="8963" max="8963" width="144.85546875" style="11" customWidth="1"/>
    <col min="8964" max="9217" width="9.140625" style="11"/>
    <col min="9218" max="9218" width="11.140625" style="11" customWidth="1"/>
    <col min="9219" max="9219" width="144.85546875" style="11" customWidth="1"/>
    <col min="9220" max="9473" width="9.140625" style="11"/>
    <col min="9474" max="9474" width="11.140625" style="11" customWidth="1"/>
    <col min="9475" max="9475" width="144.85546875" style="11" customWidth="1"/>
    <col min="9476" max="9729" width="9.140625" style="11"/>
    <col min="9730" max="9730" width="11.140625" style="11" customWidth="1"/>
    <col min="9731" max="9731" width="144.85546875" style="11" customWidth="1"/>
    <col min="9732" max="9985" width="9.140625" style="11"/>
    <col min="9986" max="9986" width="11.140625" style="11" customWidth="1"/>
    <col min="9987" max="9987" width="144.85546875" style="11" customWidth="1"/>
    <col min="9988" max="10241" width="9.140625" style="11"/>
    <col min="10242" max="10242" width="11.140625" style="11" customWidth="1"/>
    <col min="10243" max="10243" width="144.85546875" style="11" customWidth="1"/>
    <col min="10244" max="10497" width="9.140625" style="11"/>
    <col min="10498" max="10498" width="11.140625" style="11" customWidth="1"/>
    <col min="10499" max="10499" width="144.85546875" style="11" customWidth="1"/>
    <col min="10500" max="10753" width="9.140625" style="11"/>
    <col min="10754" max="10754" width="11.140625" style="11" customWidth="1"/>
    <col min="10755" max="10755" width="144.85546875" style="11" customWidth="1"/>
    <col min="10756" max="11009" width="9.140625" style="11"/>
    <col min="11010" max="11010" width="11.140625" style="11" customWidth="1"/>
    <col min="11011" max="11011" width="144.85546875" style="11" customWidth="1"/>
    <col min="11012" max="11265" width="9.140625" style="11"/>
    <col min="11266" max="11266" width="11.140625" style="11" customWidth="1"/>
    <col min="11267" max="11267" width="144.85546875" style="11" customWidth="1"/>
    <col min="11268" max="11521" width="9.140625" style="11"/>
    <col min="11522" max="11522" width="11.140625" style="11" customWidth="1"/>
    <col min="11523" max="11523" width="144.85546875" style="11" customWidth="1"/>
    <col min="11524" max="11777" width="9.140625" style="11"/>
    <col min="11778" max="11778" width="11.140625" style="11" customWidth="1"/>
    <col min="11779" max="11779" width="144.85546875" style="11" customWidth="1"/>
    <col min="11780" max="12033" width="9.140625" style="11"/>
    <col min="12034" max="12034" width="11.140625" style="11" customWidth="1"/>
    <col min="12035" max="12035" width="144.85546875" style="11" customWidth="1"/>
    <col min="12036" max="12289" width="9.140625" style="11"/>
    <col min="12290" max="12290" width="11.140625" style="11" customWidth="1"/>
    <col min="12291" max="12291" width="144.85546875" style="11" customWidth="1"/>
    <col min="12292" max="12545" width="9.140625" style="11"/>
    <col min="12546" max="12546" width="11.140625" style="11" customWidth="1"/>
    <col min="12547" max="12547" width="144.85546875" style="11" customWidth="1"/>
    <col min="12548" max="12801" width="9.140625" style="11"/>
    <col min="12802" max="12802" width="11.140625" style="11" customWidth="1"/>
    <col min="12803" max="12803" width="144.85546875" style="11" customWidth="1"/>
    <col min="12804" max="13057" width="9.140625" style="11"/>
    <col min="13058" max="13058" width="11.140625" style="11" customWidth="1"/>
    <col min="13059" max="13059" width="144.85546875" style="11" customWidth="1"/>
    <col min="13060" max="13313" width="9.140625" style="11"/>
    <col min="13314" max="13314" width="11.140625" style="11" customWidth="1"/>
    <col min="13315" max="13315" width="144.85546875" style="11" customWidth="1"/>
    <col min="13316" max="13569" width="9.140625" style="11"/>
    <col min="13570" max="13570" width="11.140625" style="11" customWidth="1"/>
    <col min="13571" max="13571" width="144.85546875" style="11" customWidth="1"/>
    <col min="13572" max="13825" width="9.140625" style="11"/>
    <col min="13826" max="13826" width="11.140625" style="11" customWidth="1"/>
    <col min="13827" max="13827" width="144.85546875" style="11" customWidth="1"/>
    <col min="13828" max="14081" width="9.140625" style="11"/>
    <col min="14082" max="14082" width="11.140625" style="11" customWidth="1"/>
    <col min="14083" max="14083" width="144.85546875" style="11" customWidth="1"/>
    <col min="14084" max="14337" width="9.140625" style="11"/>
    <col min="14338" max="14338" width="11.140625" style="11" customWidth="1"/>
    <col min="14339" max="14339" width="144.85546875" style="11" customWidth="1"/>
    <col min="14340" max="14593" width="9.140625" style="11"/>
    <col min="14594" max="14594" width="11.140625" style="11" customWidth="1"/>
    <col min="14595" max="14595" width="144.85546875" style="11" customWidth="1"/>
    <col min="14596" max="14849" width="9.140625" style="11"/>
    <col min="14850" max="14850" width="11.140625" style="11" customWidth="1"/>
    <col min="14851" max="14851" width="144.85546875" style="11" customWidth="1"/>
    <col min="14852" max="15105" width="9.140625" style="11"/>
    <col min="15106" max="15106" width="11.140625" style="11" customWidth="1"/>
    <col min="15107" max="15107" width="144.85546875" style="11" customWidth="1"/>
    <col min="15108" max="15361" width="9.140625" style="11"/>
    <col min="15362" max="15362" width="11.140625" style="11" customWidth="1"/>
    <col min="15363" max="15363" width="144.85546875" style="11" customWidth="1"/>
    <col min="15364" max="15617" width="9.140625" style="11"/>
    <col min="15618" max="15618" width="11.140625" style="11" customWidth="1"/>
    <col min="15619" max="15619" width="144.85546875" style="11" customWidth="1"/>
    <col min="15620" max="15873" width="9.140625" style="11"/>
    <col min="15874" max="15874" width="11.140625" style="11" customWidth="1"/>
    <col min="15875" max="15875" width="144.85546875" style="11" customWidth="1"/>
    <col min="15876" max="16129" width="9.140625" style="11"/>
    <col min="16130" max="16130" width="11.140625" style="11" customWidth="1"/>
    <col min="16131" max="16131" width="144.85546875" style="11" customWidth="1"/>
    <col min="16132" max="16384" width="9.140625" style="11"/>
  </cols>
  <sheetData>
    <row r="1" spans="1:3" s="9" customFormat="1" x14ac:dyDescent="0.2">
      <c r="A1" s="8" t="s">
        <v>11</v>
      </c>
      <c r="B1" s="8" t="s">
        <v>12</v>
      </c>
      <c r="C1" s="8" t="s">
        <v>315</v>
      </c>
    </row>
    <row r="2" spans="1:3" x14ac:dyDescent="0.2">
      <c r="A2" s="10">
        <v>1</v>
      </c>
      <c r="B2" s="10" t="s">
        <v>18</v>
      </c>
      <c r="C2" s="10" t="s">
        <v>21</v>
      </c>
    </row>
    <row r="3" spans="1:3" ht="45" x14ac:dyDescent="0.2">
      <c r="A3" s="10">
        <v>61386</v>
      </c>
      <c r="B3" s="10" t="s">
        <v>22</v>
      </c>
      <c r="C3" s="10" t="s">
        <v>465</v>
      </c>
    </row>
    <row r="4" spans="1:3" ht="101.25" x14ac:dyDescent="0.2">
      <c r="A4" s="10">
        <v>65001</v>
      </c>
      <c r="B4" s="10" t="s">
        <v>25</v>
      </c>
      <c r="C4" s="10" t="s">
        <v>377</v>
      </c>
    </row>
    <row r="5" spans="1:3" ht="45" x14ac:dyDescent="0.2">
      <c r="A5" s="10">
        <v>61401</v>
      </c>
      <c r="B5" s="10" t="s">
        <v>28</v>
      </c>
      <c r="C5" s="10" t="s">
        <v>466</v>
      </c>
    </row>
    <row r="6" spans="1:3" ht="33.75" x14ac:dyDescent="0.2">
      <c r="A6" s="10">
        <v>61406</v>
      </c>
      <c r="B6" s="10" t="s">
        <v>31</v>
      </c>
      <c r="C6" s="10" t="s">
        <v>467</v>
      </c>
    </row>
    <row r="7" spans="1:3" x14ac:dyDescent="0.2">
      <c r="A7" s="10">
        <v>61411</v>
      </c>
      <c r="B7" s="10" t="s">
        <v>34</v>
      </c>
      <c r="C7" s="10" t="s">
        <v>316</v>
      </c>
    </row>
    <row r="8" spans="1:3" ht="33.75" x14ac:dyDescent="0.2">
      <c r="A8" s="10">
        <v>61473</v>
      </c>
      <c r="B8" s="10" t="s">
        <v>427</v>
      </c>
      <c r="C8" s="10" t="s">
        <v>451</v>
      </c>
    </row>
    <row r="9" spans="1:3" ht="22.5" x14ac:dyDescent="0.2">
      <c r="A9" s="10">
        <v>61416</v>
      </c>
      <c r="B9" s="10" t="s">
        <v>37</v>
      </c>
      <c r="C9" s="10" t="s">
        <v>468</v>
      </c>
    </row>
    <row r="10" spans="1:3" ht="45" x14ac:dyDescent="0.2">
      <c r="A10" s="10">
        <v>61421</v>
      </c>
      <c r="B10" s="10" t="s">
        <v>40</v>
      </c>
      <c r="C10" s="10" t="s">
        <v>469</v>
      </c>
    </row>
    <row r="11" spans="1:3" ht="45" x14ac:dyDescent="0.2">
      <c r="A11" s="10">
        <v>61426</v>
      </c>
      <c r="B11" s="10" t="s">
        <v>43</v>
      </c>
      <c r="C11" s="10" t="s">
        <v>470</v>
      </c>
    </row>
    <row r="12" spans="1:3" ht="33.75" x14ac:dyDescent="0.2">
      <c r="A12" s="10">
        <v>61431</v>
      </c>
      <c r="B12" s="10" t="s">
        <v>46</v>
      </c>
      <c r="C12" s="10" t="s">
        <v>471</v>
      </c>
    </row>
    <row r="13" spans="1:3" ht="56.25" x14ac:dyDescent="0.2">
      <c r="A13" s="10">
        <v>61436</v>
      </c>
      <c r="B13" s="10" t="s">
        <v>49</v>
      </c>
      <c r="C13" s="10" t="s">
        <v>472</v>
      </c>
    </row>
    <row r="14" spans="1:3" ht="67.5" x14ac:dyDescent="0.2">
      <c r="A14" s="10">
        <v>61441</v>
      </c>
      <c r="B14" s="10" t="s">
        <v>52</v>
      </c>
      <c r="C14" s="10" t="s">
        <v>473</v>
      </c>
    </row>
    <row r="15" spans="1:3" x14ac:dyDescent="0.2">
      <c r="A15" s="10">
        <v>61446</v>
      </c>
      <c r="B15" s="10" t="s">
        <v>55</v>
      </c>
      <c r="C15" s="10" t="s">
        <v>317</v>
      </c>
    </row>
    <row r="16" spans="1:3" ht="22.5" x14ac:dyDescent="0.2">
      <c r="A16" s="10">
        <v>61474</v>
      </c>
      <c r="B16" s="10" t="s">
        <v>430</v>
      </c>
      <c r="C16" s="10" t="s">
        <v>452</v>
      </c>
    </row>
    <row r="17" spans="1:3" ht="56.25" x14ac:dyDescent="0.2">
      <c r="A17" s="11">
        <v>61451</v>
      </c>
      <c r="B17" s="11" t="s">
        <v>58</v>
      </c>
      <c r="C17" s="11" t="s">
        <v>474</v>
      </c>
    </row>
    <row r="18" spans="1:3" ht="56.25" x14ac:dyDescent="0.2">
      <c r="A18" s="11">
        <v>61456</v>
      </c>
      <c r="B18" s="11" t="s">
        <v>61</v>
      </c>
      <c r="C18" s="11" t="s">
        <v>475</v>
      </c>
    </row>
    <row r="19" spans="1:3" ht="56.25" x14ac:dyDescent="0.2">
      <c r="A19" s="11">
        <v>61461</v>
      </c>
      <c r="B19" s="11" t="s">
        <v>64</v>
      </c>
      <c r="C19" s="11" t="s">
        <v>476</v>
      </c>
    </row>
    <row r="20" spans="1:3" ht="33.75" x14ac:dyDescent="0.2">
      <c r="A20" s="11">
        <v>61466</v>
      </c>
      <c r="B20" s="11" t="s">
        <v>67</v>
      </c>
      <c r="C20" s="11" t="s">
        <v>477</v>
      </c>
    </row>
    <row r="21" spans="1:3" ht="45" x14ac:dyDescent="0.2">
      <c r="A21" s="11">
        <v>61471</v>
      </c>
      <c r="B21" s="11" t="s">
        <v>70</v>
      </c>
      <c r="C21" s="11" t="s">
        <v>446</v>
      </c>
    </row>
    <row r="22" spans="1:3" ht="45" x14ac:dyDescent="0.2">
      <c r="A22" s="11">
        <v>61491</v>
      </c>
      <c r="B22" s="11" t="s">
        <v>72</v>
      </c>
      <c r="C22" s="11" t="s">
        <v>478</v>
      </c>
    </row>
    <row r="23" spans="1:3" ht="22.5" x14ac:dyDescent="0.2">
      <c r="A23" s="11">
        <v>61511</v>
      </c>
      <c r="B23" s="11" t="s">
        <v>75</v>
      </c>
      <c r="C23" s="11" t="s">
        <v>318</v>
      </c>
    </row>
    <row r="24" spans="1:3" ht="33.75" x14ac:dyDescent="0.2">
      <c r="A24" s="11">
        <v>61531</v>
      </c>
      <c r="B24" s="11" t="s">
        <v>78</v>
      </c>
      <c r="C24" s="11" t="s">
        <v>374</v>
      </c>
    </row>
    <row r="25" spans="1:3" ht="22.5" x14ac:dyDescent="0.2">
      <c r="A25" s="11">
        <v>65006</v>
      </c>
      <c r="B25" s="11" t="s">
        <v>81</v>
      </c>
      <c r="C25" s="11" t="s">
        <v>319</v>
      </c>
    </row>
    <row r="26" spans="1:3" ht="22.5" x14ac:dyDescent="0.2">
      <c r="A26" s="11">
        <v>61611</v>
      </c>
      <c r="B26" s="11" t="s">
        <v>84</v>
      </c>
      <c r="C26" s="11" t="s">
        <v>320</v>
      </c>
    </row>
    <row r="27" spans="1:3" ht="146.25" x14ac:dyDescent="0.2">
      <c r="A27" s="11">
        <v>61615</v>
      </c>
      <c r="B27" s="11" t="s">
        <v>87</v>
      </c>
      <c r="C27" s="11" t="s">
        <v>375</v>
      </c>
    </row>
    <row r="28" spans="1:3" ht="33.75" x14ac:dyDescent="0.2">
      <c r="A28" s="11">
        <v>61631</v>
      </c>
      <c r="B28" s="11" t="s">
        <v>90</v>
      </c>
      <c r="C28" s="11" t="s">
        <v>376</v>
      </c>
    </row>
    <row r="29" spans="1:3" ht="22.5" x14ac:dyDescent="0.2">
      <c r="A29" s="11">
        <v>65011</v>
      </c>
      <c r="B29" s="11" t="s">
        <v>93</v>
      </c>
      <c r="C29" s="11" t="s">
        <v>321</v>
      </c>
    </row>
    <row r="30" spans="1:3" ht="90" x14ac:dyDescent="0.2">
      <c r="A30" s="11">
        <v>65016</v>
      </c>
      <c r="B30" s="11" t="s">
        <v>96</v>
      </c>
      <c r="C30" s="11" t="s">
        <v>479</v>
      </c>
    </row>
    <row r="31" spans="1:3" ht="33.75" x14ac:dyDescent="0.2">
      <c r="A31" s="11">
        <v>62281</v>
      </c>
      <c r="B31" s="11" t="s">
        <v>256</v>
      </c>
      <c r="C31" s="11" t="s">
        <v>480</v>
      </c>
    </row>
    <row r="32" spans="1:3" ht="22.5" x14ac:dyDescent="0.2">
      <c r="A32" s="11">
        <v>62286</v>
      </c>
      <c r="B32" s="11" t="s">
        <v>259</v>
      </c>
      <c r="C32" s="11" t="s">
        <v>481</v>
      </c>
    </row>
    <row r="33" spans="1:3" ht="22.5" x14ac:dyDescent="0.2">
      <c r="A33" s="11">
        <v>62291</v>
      </c>
      <c r="B33" s="11" t="s">
        <v>262</v>
      </c>
      <c r="C33" s="11" t="s">
        <v>482</v>
      </c>
    </row>
    <row r="34" spans="1:3" ht="22.5" x14ac:dyDescent="0.2">
      <c r="A34" s="11">
        <v>62296</v>
      </c>
      <c r="B34" s="11" t="s">
        <v>265</v>
      </c>
      <c r="C34" s="11" t="s">
        <v>398</v>
      </c>
    </row>
    <row r="35" spans="1:3" ht="56.25" x14ac:dyDescent="0.2">
      <c r="A35" s="11">
        <v>62301</v>
      </c>
      <c r="B35" s="11" t="s">
        <v>268</v>
      </c>
      <c r="C35" s="11" t="s">
        <v>483</v>
      </c>
    </row>
    <row r="36" spans="1:3" ht="45" x14ac:dyDescent="0.2">
      <c r="A36" s="11">
        <v>62306</v>
      </c>
      <c r="B36" s="11" t="s">
        <v>271</v>
      </c>
      <c r="C36" s="11" t="s">
        <v>484</v>
      </c>
    </row>
    <row r="37" spans="1:3" ht="90" x14ac:dyDescent="0.2">
      <c r="A37" s="11">
        <v>61636</v>
      </c>
      <c r="B37" s="11" t="s">
        <v>99</v>
      </c>
      <c r="C37" s="11" t="s">
        <v>485</v>
      </c>
    </row>
    <row r="38" spans="1:3" ht="56.25" x14ac:dyDescent="0.2">
      <c r="A38" s="11">
        <v>61641</v>
      </c>
      <c r="B38" s="11" t="s">
        <v>102</v>
      </c>
      <c r="C38" s="11" t="s">
        <v>486</v>
      </c>
    </row>
    <row r="39" spans="1:3" ht="56.25" x14ac:dyDescent="0.2">
      <c r="A39" s="11">
        <v>61646</v>
      </c>
      <c r="B39" s="11" t="s">
        <v>105</v>
      </c>
      <c r="C39" s="11" t="s">
        <v>378</v>
      </c>
    </row>
    <row r="40" spans="1:3" ht="67.5" x14ac:dyDescent="0.2">
      <c r="A40" s="11">
        <v>61651</v>
      </c>
      <c r="B40" s="11" t="s">
        <v>108</v>
      </c>
      <c r="C40" s="11" t="s">
        <v>487</v>
      </c>
    </row>
    <row r="41" spans="1:3" ht="22.5" x14ac:dyDescent="0.2">
      <c r="A41" s="11">
        <v>65021</v>
      </c>
      <c r="B41" s="11" t="s">
        <v>111</v>
      </c>
      <c r="C41" s="11" t="s">
        <v>322</v>
      </c>
    </row>
    <row r="42" spans="1:3" ht="22.5" x14ac:dyDescent="0.2">
      <c r="A42" s="11">
        <v>65026</v>
      </c>
      <c r="B42" s="11" t="s">
        <v>114</v>
      </c>
      <c r="C42" s="11" t="s">
        <v>323</v>
      </c>
    </row>
    <row r="43" spans="1:3" ht="78.75" x14ac:dyDescent="0.2">
      <c r="A43" s="11">
        <v>61656</v>
      </c>
      <c r="B43" s="11" t="s">
        <v>117</v>
      </c>
      <c r="C43" s="11" t="s">
        <v>488</v>
      </c>
    </row>
    <row r="44" spans="1:3" ht="56.25" x14ac:dyDescent="0.2">
      <c r="A44" s="11">
        <v>61661</v>
      </c>
      <c r="B44" s="11" t="s">
        <v>120</v>
      </c>
      <c r="C44" s="11" t="s">
        <v>489</v>
      </c>
    </row>
    <row r="45" spans="1:3" ht="33.75" x14ac:dyDescent="0.2">
      <c r="A45" s="11">
        <v>65031</v>
      </c>
      <c r="B45" s="11" t="s">
        <v>123</v>
      </c>
      <c r="C45" s="11" t="s">
        <v>324</v>
      </c>
    </row>
    <row r="46" spans="1:3" ht="67.5" x14ac:dyDescent="0.2">
      <c r="A46" s="11">
        <v>61666</v>
      </c>
      <c r="B46" s="11" t="s">
        <v>126</v>
      </c>
      <c r="C46" s="11" t="s">
        <v>490</v>
      </c>
    </row>
    <row r="47" spans="1:3" ht="45" x14ac:dyDescent="0.2">
      <c r="A47" s="11">
        <v>61671</v>
      </c>
      <c r="B47" s="11" t="s">
        <v>129</v>
      </c>
      <c r="C47" s="11" t="s">
        <v>491</v>
      </c>
    </row>
    <row r="48" spans="1:3" ht="22.5" x14ac:dyDescent="0.2">
      <c r="A48" s="11">
        <v>61676</v>
      </c>
      <c r="B48" s="11" t="s">
        <v>132</v>
      </c>
      <c r="C48" s="11" t="s">
        <v>492</v>
      </c>
    </row>
    <row r="49" spans="1:3" ht="67.5" x14ac:dyDescent="0.2">
      <c r="A49" s="11">
        <v>61681</v>
      </c>
      <c r="B49" s="11" t="s">
        <v>135</v>
      </c>
      <c r="C49" s="11" t="s">
        <v>493</v>
      </c>
    </row>
    <row r="50" spans="1:3" ht="45" x14ac:dyDescent="0.2">
      <c r="A50" s="11">
        <v>61686</v>
      </c>
      <c r="B50" s="11" t="s">
        <v>138</v>
      </c>
      <c r="C50" s="11" t="s">
        <v>494</v>
      </c>
    </row>
    <row r="51" spans="1:3" ht="56.25" x14ac:dyDescent="0.2">
      <c r="A51" s="11">
        <v>61691</v>
      </c>
      <c r="B51" s="11" t="s">
        <v>141</v>
      </c>
      <c r="C51" s="11" t="s">
        <v>495</v>
      </c>
    </row>
    <row r="52" spans="1:3" ht="22.5" x14ac:dyDescent="0.2">
      <c r="A52" s="11">
        <v>61696</v>
      </c>
      <c r="B52" s="11" t="s">
        <v>144</v>
      </c>
      <c r="C52" s="11" t="s">
        <v>325</v>
      </c>
    </row>
    <row r="53" spans="1:3" x14ac:dyDescent="0.2">
      <c r="A53" s="11">
        <v>61701</v>
      </c>
      <c r="B53" s="11" t="s">
        <v>147</v>
      </c>
      <c r="C53" s="11" t="s">
        <v>326</v>
      </c>
    </row>
    <row r="54" spans="1:3" x14ac:dyDescent="0.2">
      <c r="A54" s="11">
        <v>61706</v>
      </c>
      <c r="B54" s="11" t="s">
        <v>150</v>
      </c>
      <c r="C54" s="11" t="s">
        <v>327</v>
      </c>
    </row>
    <row r="55" spans="1:3" ht="22.5" x14ac:dyDescent="0.2">
      <c r="A55" s="11">
        <v>61711</v>
      </c>
      <c r="B55" s="11" t="s">
        <v>153</v>
      </c>
      <c r="C55" s="11" t="s">
        <v>328</v>
      </c>
    </row>
    <row r="56" spans="1:3" ht="22.5" x14ac:dyDescent="0.2">
      <c r="A56" s="11">
        <v>61716</v>
      </c>
      <c r="B56" s="11" t="s">
        <v>156</v>
      </c>
      <c r="C56" s="11" t="s">
        <v>329</v>
      </c>
    </row>
    <row r="57" spans="1:3" ht="33.75" x14ac:dyDescent="0.2">
      <c r="A57" s="11">
        <v>61821</v>
      </c>
      <c r="B57" s="11" t="s">
        <v>159</v>
      </c>
      <c r="C57" s="11" t="s">
        <v>496</v>
      </c>
    </row>
    <row r="58" spans="1:3" ht="22.5" x14ac:dyDescent="0.2">
      <c r="A58" s="11">
        <v>61826</v>
      </c>
      <c r="B58" s="11" t="s">
        <v>162</v>
      </c>
      <c r="C58" s="11" t="s">
        <v>497</v>
      </c>
    </row>
    <row r="59" spans="1:3" x14ac:dyDescent="0.2">
      <c r="A59" s="11">
        <v>65033</v>
      </c>
      <c r="B59" s="11" t="s">
        <v>165</v>
      </c>
      <c r="C59" s="11" t="s">
        <v>167</v>
      </c>
    </row>
    <row r="60" spans="1:3" ht="33.75" x14ac:dyDescent="0.2">
      <c r="A60" s="11">
        <v>61831</v>
      </c>
      <c r="B60" s="11" t="s">
        <v>168</v>
      </c>
      <c r="C60" s="11" t="s">
        <v>498</v>
      </c>
    </row>
    <row r="61" spans="1:3" ht="33.75" x14ac:dyDescent="0.2">
      <c r="A61" s="11">
        <v>61836</v>
      </c>
      <c r="B61" s="11" t="s">
        <v>171</v>
      </c>
      <c r="C61" s="11" t="s">
        <v>499</v>
      </c>
    </row>
    <row r="62" spans="1:3" ht="22.5" x14ac:dyDescent="0.2">
      <c r="A62" s="11">
        <v>61841</v>
      </c>
      <c r="B62" s="11" t="s">
        <v>174</v>
      </c>
      <c r="C62" s="11" t="s">
        <v>500</v>
      </c>
    </row>
    <row r="63" spans="1:3" ht="22.5" x14ac:dyDescent="0.2">
      <c r="A63" s="11">
        <v>61846</v>
      </c>
      <c r="B63" s="11" t="s">
        <v>177</v>
      </c>
      <c r="C63" s="11" t="s">
        <v>501</v>
      </c>
    </row>
    <row r="64" spans="1:3" ht="33.75" x14ac:dyDescent="0.2">
      <c r="A64" s="11">
        <v>61851</v>
      </c>
      <c r="B64" s="11" t="s">
        <v>180</v>
      </c>
      <c r="C64" s="11" t="s">
        <v>502</v>
      </c>
    </row>
    <row r="65" spans="1:3" ht="33.75" x14ac:dyDescent="0.2">
      <c r="A65" s="11">
        <v>61856</v>
      </c>
      <c r="B65" s="11" t="s">
        <v>183</v>
      </c>
      <c r="C65" s="11" t="s">
        <v>503</v>
      </c>
    </row>
    <row r="66" spans="1:3" ht="78.75" x14ac:dyDescent="0.2">
      <c r="A66" s="11">
        <v>61861</v>
      </c>
      <c r="B66" s="11" t="s">
        <v>186</v>
      </c>
      <c r="C66" s="11" t="s">
        <v>504</v>
      </c>
    </row>
    <row r="67" spans="1:3" ht="90" x14ac:dyDescent="0.2">
      <c r="A67" s="11">
        <v>61866</v>
      </c>
      <c r="B67" s="11" t="s">
        <v>189</v>
      </c>
      <c r="C67" s="11" t="s">
        <v>505</v>
      </c>
    </row>
    <row r="68" spans="1:3" ht="78.75" x14ac:dyDescent="0.2">
      <c r="A68" s="11">
        <v>61886</v>
      </c>
      <c r="B68" s="11" t="s">
        <v>192</v>
      </c>
      <c r="C68" s="11" t="s">
        <v>379</v>
      </c>
    </row>
    <row r="69" spans="1:3" ht="90" x14ac:dyDescent="0.2">
      <c r="A69" s="11">
        <v>61891</v>
      </c>
      <c r="B69" s="11" t="s">
        <v>195</v>
      </c>
      <c r="C69" s="11" t="s">
        <v>380</v>
      </c>
    </row>
    <row r="70" spans="1:3" ht="78.75" x14ac:dyDescent="0.2">
      <c r="A70" s="11">
        <v>61911</v>
      </c>
      <c r="B70" s="11" t="s">
        <v>198</v>
      </c>
      <c r="C70" s="11" t="s">
        <v>381</v>
      </c>
    </row>
    <row r="71" spans="1:3" ht="90" x14ac:dyDescent="0.2">
      <c r="A71" s="11">
        <v>61916</v>
      </c>
      <c r="B71" s="11" t="s">
        <v>201</v>
      </c>
      <c r="C71" s="11" t="s">
        <v>382</v>
      </c>
    </row>
    <row r="72" spans="1:3" ht="33.75" x14ac:dyDescent="0.2">
      <c r="A72" s="11">
        <v>61936</v>
      </c>
      <c r="B72" s="11" t="s">
        <v>204</v>
      </c>
      <c r="C72" s="11" t="s">
        <v>383</v>
      </c>
    </row>
    <row r="73" spans="1:3" ht="45" x14ac:dyDescent="0.2">
      <c r="A73" s="11">
        <v>61941</v>
      </c>
      <c r="B73" s="11" t="s">
        <v>207</v>
      </c>
      <c r="C73" s="11" t="s">
        <v>384</v>
      </c>
    </row>
    <row r="74" spans="1:3" ht="90" x14ac:dyDescent="0.2">
      <c r="A74" s="11">
        <v>61961</v>
      </c>
      <c r="B74" s="11" t="s">
        <v>210</v>
      </c>
      <c r="C74" s="11" t="s">
        <v>385</v>
      </c>
    </row>
    <row r="75" spans="1:3" ht="90" x14ac:dyDescent="0.2">
      <c r="A75" s="11">
        <v>61966</v>
      </c>
      <c r="B75" s="11" t="s">
        <v>213</v>
      </c>
      <c r="C75" s="11" t="s">
        <v>386</v>
      </c>
    </row>
    <row r="76" spans="1:3" ht="67.5" x14ac:dyDescent="0.2">
      <c r="A76" s="11">
        <v>61986</v>
      </c>
      <c r="B76" s="11" t="s">
        <v>216</v>
      </c>
      <c r="C76" s="11" t="s">
        <v>387</v>
      </c>
    </row>
    <row r="77" spans="1:3" ht="90" x14ac:dyDescent="0.2">
      <c r="A77" s="11">
        <v>61991</v>
      </c>
      <c r="B77" s="11" t="s">
        <v>219</v>
      </c>
      <c r="C77" s="11" t="s">
        <v>388</v>
      </c>
    </row>
    <row r="78" spans="1:3" ht="101.25" x14ac:dyDescent="0.2">
      <c r="A78" s="11">
        <v>62046</v>
      </c>
      <c r="B78" s="11" t="s">
        <v>222</v>
      </c>
      <c r="C78" s="11" t="s">
        <v>389</v>
      </c>
    </row>
    <row r="79" spans="1:3" ht="78.75" x14ac:dyDescent="0.2">
      <c r="A79" s="11">
        <v>62071</v>
      </c>
      <c r="B79" s="11" t="s">
        <v>225</v>
      </c>
      <c r="C79" s="11" t="s">
        <v>390</v>
      </c>
    </row>
    <row r="80" spans="1:3" ht="90" x14ac:dyDescent="0.2">
      <c r="A80" s="11">
        <v>62076</v>
      </c>
      <c r="B80" s="11" t="s">
        <v>228</v>
      </c>
      <c r="C80" s="11" t="s">
        <v>391</v>
      </c>
    </row>
    <row r="81" spans="1:3" ht="56.25" x14ac:dyDescent="0.2">
      <c r="A81" s="11">
        <v>62096</v>
      </c>
      <c r="B81" s="11" t="s">
        <v>231</v>
      </c>
      <c r="C81" s="11" t="s">
        <v>392</v>
      </c>
    </row>
    <row r="82" spans="1:3" ht="67.5" x14ac:dyDescent="0.2">
      <c r="A82" s="11">
        <v>62101</v>
      </c>
      <c r="B82" s="11" t="s">
        <v>234</v>
      </c>
      <c r="C82" s="11" t="s">
        <v>393</v>
      </c>
    </row>
    <row r="83" spans="1:3" ht="45" x14ac:dyDescent="0.2">
      <c r="A83" s="11">
        <v>62121</v>
      </c>
      <c r="B83" s="11" t="s">
        <v>237</v>
      </c>
      <c r="C83" s="11" t="s">
        <v>330</v>
      </c>
    </row>
    <row r="84" spans="1:3" ht="78.75" x14ac:dyDescent="0.2">
      <c r="A84" s="11">
        <v>62126</v>
      </c>
      <c r="B84" s="11" t="s">
        <v>240</v>
      </c>
      <c r="C84" s="11" t="s">
        <v>394</v>
      </c>
    </row>
    <row r="85" spans="1:3" ht="67.5" x14ac:dyDescent="0.2">
      <c r="A85" s="11">
        <v>62146</v>
      </c>
      <c r="B85" s="11" t="s">
        <v>243</v>
      </c>
      <c r="C85" s="11" t="s">
        <v>395</v>
      </c>
    </row>
    <row r="86" spans="1:3" ht="78.75" x14ac:dyDescent="0.2">
      <c r="A86" s="11">
        <v>62151</v>
      </c>
      <c r="B86" s="11" t="s">
        <v>246</v>
      </c>
      <c r="C86" s="11" t="s">
        <v>396</v>
      </c>
    </row>
    <row r="87" spans="1:3" ht="22.5" x14ac:dyDescent="0.2">
      <c r="A87" s="11">
        <v>62256</v>
      </c>
      <c r="B87" s="11" t="s">
        <v>249</v>
      </c>
      <c r="C87" s="11" t="s">
        <v>397</v>
      </c>
    </row>
    <row r="88" spans="1:3" ht="33.75" x14ac:dyDescent="0.2">
      <c r="A88" s="11">
        <v>62261</v>
      </c>
      <c r="B88" s="11" t="s">
        <v>251</v>
      </c>
      <c r="C88" s="11" t="s">
        <v>447</v>
      </c>
    </row>
    <row r="89" spans="1:3" ht="33.75" x14ac:dyDescent="0.2">
      <c r="A89" s="11">
        <v>62266</v>
      </c>
      <c r="B89" s="11" t="s">
        <v>253</v>
      </c>
      <c r="C89" s="11" t="s">
        <v>448</v>
      </c>
    </row>
    <row r="90" spans="1:3" ht="213.75" x14ac:dyDescent="0.2">
      <c r="A90" s="11">
        <v>62268</v>
      </c>
      <c r="B90" s="11" t="s">
        <v>437</v>
      </c>
      <c r="C90" s="11" t="s">
        <v>460</v>
      </c>
    </row>
    <row r="91" spans="1:3" ht="22.5" x14ac:dyDescent="0.2">
      <c r="A91" s="11">
        <v>62271</v>
      </c>
      <c r="B91" s="11" t="s">
        <v>439</v>
      </c>
      <c r="C91" s="11" t="s">
        <v>449</v>
      </c>
    </row>
    <row r="92" spans="1:3" x14ac:dyDescent="0.2">
      <c r="A92" s="11">
        <v>65088</v>
      </c>
      <c r="B92" s="11" t="s">
        <v>441</v>
      </c>
      <c r="C92" s="11" t="s">
        <v>450</v>
      </c>
    </row>
    <row r="93" spans="1:3" ht="22.5" x14ac:dyDescent="0.2">
      <c r="A93" s="11">
        <v>62276</v>
      </c>
      <c r="B93" s="11" t="s">
        <v>442</v>
      </c>
      <c r="C93" s="11" t="s">
        <v>461</v>
      </c>
    </row>
    <row r="94" spans="1:3" ht="168.75" x14ac:dyDescent="0.2">
      <c r="A94" s="11">
        <v>67051</v>
      </c>
      <c r="B94" s="11" t="s">
        <v>410</v>
      </c>
      <c r="C94" s="11" t="s">
        <v>421</v>
      </c>
    </row>
    <row r="95" spans="1:3" ht="33.75" x14ac:dyDescent="0.2">
      <c r="A95" s="11">
        <v>67056</v>
      </c>
      <c r="B95" s="11" t="s">
        <v>411</v>
      </c>
      <c r="C95" s="11" t="s">
        <v>422</v>
      </c>
    </row>
    <row r="96" spans="1:3" ht="22.5" x14ac:dyDescent="0.2">
      <c r="A96" s="11">
        <v>67061</v>
      </c>
      <c r="B96" s="11" t="s">
        <v>413</v>
      </c>
      <c r="C96" s="11" t="s">
        <v>423</v>
      </c>
    </row>
    <row r="97" spans="1:3" x14ac:dyDescent="0.2">
      <c r="A97" s="11">
        <v>67066</v>
      </c>
      <c r="B97" s="11" t="s">
        <v>415</v>
      </c>
      <c r="C97" s="11" t="s">
        <v>424</v>
      </c>
    </row>
    <row r="98" spans="1:3" x14ac:dyDescent="0.2">
      <c r="A98" s="11">
        <v>67071</v>
      </c>
      <c r="B98" s="11" t="s">
        <v>418</v>
      </c>
      <c r="C98" s="11" t="s">
        <v>425</v>
      </c>
    </row>
    <row r="99" spans="1:3" ht="22.5" x14ac:dyDescent="0.2">
      <c r="A99" s="11">
        <v>62321</v>
      </c>
      <c r="B99" s="11" t="s">
        <v>274</v>
      </c>
      <c r="C99" s="11" t="s">
        <v>399</v>
      </c>
    </row>
    <row r="100" spans="1:3" ht="33.75" x14ac:dyDescent="0.2">
      <c r="A100" s="11">
        <v>62326</v>
      </c>
      <c r="B100" s="11" t="s">
        <v>277</v>
      </c>
      <c r="C100" s="11" t="s">
        <v>400</v>
      </c>
    </row>
    <row r="101" spans="1:3" ht="22.5" x14ac:dyDescent="0.2">
      <c r="A101" s="11">
        <v>62331</v>
      </c>
      <c r="B101" s="11" t="s">
        <v>280</v>
      </c>
      <c r="C101" s="11" t="s">
        <v>401</v>
      </c>
    </row>
    <row r="102" spans="1:3" ht="22.5" x14ac:dyDescent="0.2">
      <c r="A102" s="11">
        <v>62336</v>
      </c>
      <c r="B102" s="11" t="s">
        <v>283</v>
      </c>
      <c r="C102" s="11" t="s">
        <v>402</v>
      </c>
    </row>
    <row r="103" spans="1:3" ht="45" x14ac:dyDescent="0.2">
      <c r="A103" s="11">
        <v>62341</v>
      </c>
      <c r="B103" s="11" t="s">
        <v>286</v>
      </c>
      <c r="C103" s="11" t="s">
        <v>403</v>
      </c>
    </row>
    <row r="104" spans="1:3" ht="45" x14ac:dyDescent="0.2">
      <c r="A104" s="11">
        <v>62346</v>
      </c>
      <c r="B104" s="11" t="s">
        <v>289</v>
      </c>
      <c r="C104" s="11" t="s">
        <v>404</v>
      </c>
    </row>
    <row r="105" spans="1:3" ht="33.75" x14ac:dyDescent="0.2">
      <c r="A105" s="11">
        <v>62351</v>
      </c>
      <c r="B105" s="11" t="s">
        <v>292</v>
      </c>
      <c r="C105" s="11" t="s">
        <v>405</v>
      </c>
    </row>
    <row r="106" spans="1:3" ht="45" x14ac:dyDescent="0.2">
      <c r="A106" s="11">
        <v>62356</v>
      </c>
      <c r="B106" s="11" t="s">
        <v>295</v>
      </c>
      <c r="C106" s="11" t="s">
        <v>406</v>
      </c>
    </row>
    <row r="107" spans="1:3" ht="56.25" x14ac:dyDescent="0.2">
      <c r="A107" s="11">
        <v>62361</v>
      </c>
      <c r="B107" s="11" t="s">
        <v>298</v>
      </c>
      <c r="C107" s="11" t="s">
        <v>506</v>
      </c>
    </row>
    <row r="108" spans="1:3" ht="33.75" x14ac:dyDescent="0.2">
      <c r="A108" s="11">
        <v>62366</v>
      </c>
      <c r="B108" s="11" t="s">
        <v>301</v>
      </c>
      <c r="C108" s="11" t="s">
        <v>507</v>
      </c>
    </row>
    <row r="109" spans="1:3" ht="22.5" x14ac:dyDescent="0.2">
      <c r="A109" s="11">
        <v>62371</v>
      </c>
      <c r="B109" s="11" t="s">
        <v>304</v>
      </c>
      <c r="C109" s="11" t="s">
        <v>407</v>
      </c>
    </row>
    <row r="110" spans="1:3" ht="33.75" x14ac:dyDescent="0.2">
      <c r="A110" s="11">
        <v>62376</v>
      </c>
      <c r="B110" s="11" t="s">
        <v>307</v>
      </c>
      <c r="C110" s="11" t="s">
        <v>408</v>
      </c>
    </row>
    <row r="111" spans="1:3" ht="33.75" x14ac:dyDescent="0.2">
      <c r="A111" s="11">
        <v>62311</v>
      </c>
      <c r="B111" s="11" t="s">
        <v>309</v>
      </c>
      <c r="C111" s="11" t="s">
        <v>508</v>
      </c>
    </row>
    <row r="112" spans="1:3" ht="22.5" x14ac:dyDescent="0.2">
      <c r="A112" s="11">
        <v>62316</v>
      </c>
      <c r="B112" s="11" t="s">
        <v>312</v>
      </c>
      <c r="C112" s="11" t="s">
        <v>409</v>
      </c>
    </row>
    <row r="113" spans="1:3" x14ac:dyDescent="0.2">
      <c r="A113" s="11"/>
      <c r="B113" s="11"/>
      <c r="C113" s="11"/>
    </row>
    <row r="114" spans="1:3" x14ac:dyDescent="0.2">
      <c r="A114" s="11"/>
      <c r="B114" s="11"/>
      <c r="C114" s="11"/>
    </row>
    <row r="115" spans="1:3" x14ac:dyDescent="0.2">
      <c r="A115" s="11"/>
      <c r="B115" s="11"/>
      <c r="C115" s="11"/>
    </row>
    <row r="116" spans="1:3" x14ac:dyDescent="0.2">
      <c r="A116" s="11"/>
      <c r="B116" s="11"/>
      <c r="C116" s="11"/>
    </row>
    <row r="117" spans="1:3" x14ac:dyDescent="0.2">
      <c r="A117" s="11"/>
      <c r="B117" s="11"/>
      <c r="C117" s="11"/>
    </row>
    <row r="118" spans="1:3" x14ac:dyDescent="0.2">
      <c r="A118" s="11"/>
      <c r="B118" s="11"/>
      <c r="C118" s="11"/>
    </row>
    <row r="119" spans="1:3" x14ac:dyDescent="0.2">
      <c r="A119" s="11"/>
      <c r="B119" s="11"/>
      <c r="C119" s="11"/>
    </row>
    <row r="120" spans="1:3" x14ac:dyDescent="0.2">
      <c r="A120" s="11"/>
      <c r="B120" s="11"/>
      <c r="C120" s="11"/>
    </row>
    <row r="121" spans="1:3" x14ac:dyDescent="0.2">
      <c r="A121" s="11"/>
      <c r="B121" s="11"/>
      <c r="C121" s="11"/>
    </row>
    <row r="122" spans="1:3" x14ac:dyDescent="0.2">
      <c r="A122" s="11"/>
      <c r="B122" s="11"/>
      <c r="C122" s="11"/>
    </row>
    <row r="123" spans="1:3" x14ac:dyDescent="0.2">
      <c r="A123" s="11"/>
      <c r="B123" s="11"/>
      <c r="C123" s="11"/>
    </row>
    <row r="124" spans="1:3" x14ac:dyDescent="0.2">
      <c r="A124" s="11"/>
      <c r="B124" s="11"/>
      <c r="C124" s="11"/>
    </row>
    <row r="125" spans="1:3" x14ac:dyDescent="0.2">
      <c r="A125" s="11"/>
      <c r="B125" s="11"/>
      <c r="C125" s="11"/>
    </row>
    <row r="126" spans="1:3" x14ac:dyDescent="0.2">
      <c r="A126" s="11"/>
      <c r="B126" s="11"/>
      <c r="C126" s="11"/>
    </row>
    <row r="127" spans="1:3" x14ac:dyDescent="0.2">
      <c r="A127" s="11"/>
      <c r="B127" s="11"/>
      <c r="C127" s="11"/>
    </row>
    <row r="128" spans="1:3" x14ac:dyDescent="0.2">
      <c r="A128" s="11"/>
      <c r="B128" s="11"/>
      <c r="C128" s="11"/>
    </row>
    <row r="129" spans="1:3" x14ac:dyDescent="0.2">
      <c r="A129" s="11"/>
      <c r="B129" s="11"/>
      <c r="C129" s="11"/>
    </row>
    <row r="130" spans="1:3" x14ac:dyDescent="0.2">
      <c r="A130" s="11"/>
      <c r="B130" s="11"/>
      <c r="C130" s="11"/>
    </row>
    <row r="131" spans="1:3" x14ac:dyDescent="0.2">
      <c r="A131" s="11"/>
      <c r="B131" s="11"/>
      <c r="C131" s="11"/>
    </row>
    <row r="132" spans="1:3" x14ac:dyDescent="0.2">
      <c r="A132" s="11"/>
      <c r="B132" s="11"/>
      <c r="C132" s="11"/>
    </row>
    <row r="133" spans="1:3" x14ac:dyDescent="0.2">
      <c r="A133" s="11"/>
      <c r="B133" s="11"/>
      <c r="C133" s="11"/>
    </row>
    <row r="134" spans="1:3" x14ac:dyDescent="0.2">
      <c r="A134" s="11"/>
      <c r="B134" s="11"/>
      <c r="C134" s="11"/>
    </row>
    <row r="135" spans="1:3" x14ac:dyDescent="0.2">
      <c r="A135" s="11"/>
      <c r="B135" s="11"/>
      <c r="C135" s="11"/>
    </row>
    <row r="136" spans="1:3" x14ac:dyDescent="0.2">
      <c r="A136" s="11"/>
      <c r="B136" s="11"/>
      <c r="C136" s="11"/>
    </row>
    <row r="137" spans="1:3" x14ac:dyDescent="0.2">
      <c r="A137" s="11"/>
      <c r="B137" s="11"/>
      <c r="C137" s="11"/>
    </row>
    <row r="138" spans="1:3" x14ac:dyDescent="0.2">
      <c r="A138" s="11"/>
      <c r="B138" s="11"/>
      <c r="C138" s="11"/>
    </row>
    <row r="139" spans="1:3" x14ac:dyDescent="0.2">
      <c r="A139" s="11"/>
      <c r="B139" s="11"/>
      <c r="C139" s="11"/>
    </row>
    <row r="140" spans="1:3" x14ac:dyDescent="0.2">
      <c r="A140" s="11"/>
      <c r="B140" s="11"/>
      <c r="C140" s="11"/>
    </row>
    <row r="141" spans="1:3" x14ac:dyDescent="0.2">
      <c r="A141" s="11"/>
      <c r="B141" s="11"/>
      <c r="C141" s="11"/>
    </row>
    <row r="142" spans="1:3" x14ac:dyDescent="0.2">
      <c r="A142" s="11"/>
      <c r="B142" s="11"/>
      <c r="C142" s="11"/>
    </row>
    <row r="143" spans="1:3" x14ac:dyDescent="0.2">
      <c r="A143" s="11"/>
      <c r="B143" s="11"/>
      <c r="C143" s="11"/>
    </row>
    <row r="144" spans="1:3" x14ac:dyDescent="0.2">
      <c r="A144" s="11"/>
      <c r="B144" s="11"/>
      <c r="C144" s="11"/>
    </row>
    <row r="145" spans="1:3" x14ac:dyDescent="0.2">
      <c r="A145" s="11"/>
      <c r="B145" s="11"/>
      <c r="C145" s="11"/>
    </row>
    <row r="146" spans="1:3" x14ac:dyDescent="0.2">
      <c r="A146" s="11"/>
      <c r="B146" s="11"/>
      <c r="C146" s="11"/>
    </row>
    <row r="147" spans="1:3" x14ac:dyDescent="0.2">
      <c r="A147" s="11"/>
      <c r="B147" s="11"/>
      <c r="C147" s="11"/>
    </row>
    <row r="148" spans="1:3" x14ac:dyDescent="0.2">
      <c r="A148" s="11"/>
      <c r="B148" s="11"/>
      <c r="C148" s="11"/>
    </row>
    <row r="149" spans="1:3" x14ac:dyDescent="0.2">
      <c r="A149" s="11"/>
      <c r="B149" s="11"/>
      <c r="C149" s="11"/>
    </row>
    <row r="150" spans="1:3" x14ac:dyDescent="0.2">
      <c r="A150" s="11"/>
      <c r="B150" s="11"/>
      <c r="C150" s="11"/>
    </row>
    <row r="151" spans="1:3" x14ac:dyDescent="0.2">
      <c r="A151" s="11"/>
      <c r="B151" s="11"/>
      <c r="C151" s="11"/>
    </row>
    <row r="152" spans="1:3" x14ac:dyDescent="0.2">
      <c r="A152" s="11"/>
      <c r="B152" s="11"/>
      <c r="C152" s="11"/>
    </row>
    <row r="153" spans="1:3" x14ac:dyDescent="0.2">
      <c r="A153" s="11"/>
      <c r="B153" s="11"/>
      <c r="C153" s="11"/>
    </row>
    <row r="154" spans="1:3" x14ac:dyDescent="0.2">
      <c r="A154" s="11"/>
      <c r="B154" s="11"/>
      <c r="C154" s="11"/>
    </row>
    <row r="155" spans="1:3" x14ac:dyDescent="0.2">
      <c r="A155" s="11"/>
      <c r="B155" s="11"/>
      <c r="C155" s="11"/>
    </row>
    <row r="156" spans="1:3" x14ac:dyDescent="0.2">
      <c r="A156" s="11"/>
      <c r="B156" s="11"/>
      <c r="C156" s="11"/>
    </row>
    <row r="157" spans="1:3" x14ac:dyDescent="0.2">
      <c r="A157" s="11"/>
      <c r="B157" s="11"/>
      <c r="C157" s="11"/>
    </row>
    <row r="158" spans="1:3" x14ac:dyDescent="0.2">
      <c r="A158" s="11"/>
      <c r="B158" s="11"/>
      <c r="C158" s="11"/>
    </row>
    <row r="159" spans="1:3" x14ac:dyDescent="0.2">
      <c r="A159" s="11"/>
      <c r="B159" s="11"/>
      <c r="C159" s="11"/>
    </row>
    <row r="160" spans="1:3" x14ac:dyDescent="0.2">
      <c r="A160" s="11"/>
      <c r="B160" s="11"/>
      <c r="C160" s="11"/>
    </row>
    <row r="161" spans="1:3" x14ac:dyDescent="0.2">
      <c r="A161" s="11"/>
      <c r="B161" s="11"/>
      <c r="C161" s="11"/>
    </row>
    <row r="162" spans="1:3" x14ac:dyDescent="0.2">
      <c r="A162" s="11"/>
      <c r="B162" s="11"/>
      <c r="C162" s="11"/>
    </row>
    <row r="163" spans="1:3" x14ac:dyDescent="0.2">
      <c r="A163" s="11"/>
      <c r="B163" s="11"/>
      <c r="C163" s="11"/>
    </row>
    <row r="164" spans="1:3" x14ac:dyDescent="0.2">
      <c r="A164" s="11"/>
      <c r="B164" s="11"/>
      <c r="C164" s="11"/>
    </row>
    <row r="165" spans="1:3" x14ac:dyDescent="0.2">
      <c r="A165" s="11"/>
      <c r="B165" s="11"/>
      <c r="C165" s="11"/>
    </row>
    <row r="166" spans="1:3" x14ac:dyDescent="0.2">
      <c r="A166" s="11"/>
      <c r="B166" s="11"/>
      <c r="C166" s="11"/>
    </row>
    <row r="167" spans="1:3" x14ac:dyDescent="0.2">
      <c r="A167" s="11"/>
      <c r="B167" s="11"/>
      <c r="C167" s="11"/>
    </row>
    <row r="168" spans="1:3" x14ac:dyDescent="0.2">
      <c r="A168" s="11"/>
      <c r="B168" s="11"/>
      <c r="C168" s="11"/>
    </row>
    <row r="169" spans="1:3" x14ac:dyDescent="0.2">
      <c r="A169" s="11"/>
      <c r="B169" s="11"/>
      <c r="C169" s="11"/>
    </row>
    <row r="170" spans="1:3" x14ac:dyDescent="0.2">
      <c r="A170" s="11"/>
      <c r="B170" s="11"/>
      <c r="C170" s="11"/>
    </row>
    <row r="171" spans="1:3" x14ac:dyDescent="0.2">
      <c r="A171" s="11"/>
      <c r="B171" s="11"/>
      <c r="C171" s="11"/>
    </row>
    <row r="172" spans="1:3" x14ac:dyDescent="0.2">
      <c r="A172" s="11"/>
      <c r="B172" s="11"/>
      <c r="C172" s="11"/>
    </row>
    <row r="173" spans="1:3" x14ac:dyDescent="0.2">
      <c r="A173" s="11"/>
      <c r="B173" s="11"/>
      <c r="C173" s="11"/>
    </row>
    <row r="174" spans="1:3" x14ac:dyDescent="0.2">
      <c r="A174" s="11"/>
      <c r="B174" s="11"/>
      <c r="C174" s="11"/>
    </row>
    <row r="175" spans="1:3" x14ac:dyDescent="0.2">
      <c r="A175" s="11"/>
      <c r="B175" s="11"/>
      <c r="C175" s="11"/>
    </row>
    <row r="176" spans="1:3" x14ac:dyDescent="0.2">
      <c r="A176" s="11"/>
      <c r="B176" s="11"/>
      <c r="C176" s="11"/>
    </row>
    <row r="177" spans="1:3" x14ac:dyDescent="0.2">
      <c r="A177" s="11"/>
      <c r="B177" s="11"/>
      <c r="C177" s="11"/>
    </row>
    <row r="178" spans="1:3" x14ac:dyDescent="0.2">
      <c r="A178" s="11"/>
      <c r="B178" s="11"/>
      <c r="C178" s="11"/>
    </row>
    <row r="179" spans="1:3" x14ac:dyDescent="0.2">
      <c r="A179" s="11"/>
      <c r="B179" s="11"/>
      <c r="C179" s="11"/>
    </row>
    <row r="180" spans="1:3" x14ac:dyDescent="0.2">
      <c r="A180" s="11"/>
      <c r="B180" s="11"/>
      <c r="C180" s="11"/>
    </row>
    <row r="181" spans="1:3" x14ac:dyDescent="0.2">
      <c r="A181" s="11"/>
      <c r="B181" s="11"/>
      <c r="C181" s="11"/>
    </row>
    <row r="182" spans="1:3" x14ac:dyDescent="0.2">
      <c r="A182" s="11"/>
      <c r="B182" s="11"/>
      <c r="C182" s="11"/>
    </row>
    <row r="183" spans="1:3" x14ac:dyDescent="0.2">
      <c r="A183" s="11"/>
      <c r="B183" s="11"/>
      <c r="C183" s="11"/>
    </row>
    <row r="184" spans="1:3" x14ac:dyDescent="0.2">
      <c r="A184" s="11"/>
      <c r="B184" s="11"/>
      <c r="C184" s="11"/>
    </row>
    <row r="185" spans="1:3" x14ac:dyDescent="0.2">
      <c r="A185" s="11"/>
      <c r="B185" s="11"/>
      <c r="C185" s="11"/>
    </row>
    <row r="186" spans="1:3" x14ac:dyDescent="0.2">
      <c r="A186" s="11"/>
      <c r="B186" s="11"/>
      <c r="C186" s="11"/>
    </row>
    <row r="187" spans="1:3" x14ac:dyDescent="0.2">
      <c r="A187" s="11"/>
      <c r="B187" s="11"/>
      <c r="C187" s="11"/>
    </row>
    <row r="188" spans="1:3" x14ac:dyDescent="0.2">
      <c r="A188" s="11"/>
      <c r="B188" s="11"/>
      <c r="C188" s="11"/>
    </row>
    <row r="189" spans="1:3" x14ac:dyDescent="0.2">
      <c r="A189" s="11"/>
      <c r="B189" s="11"/>
      <c r="C189" s="11"/>
    </row>
    <row r="190" spans="1:3" x14ac:dyDescent="0.2">
      <c r="A190" s="11"/>
      <c r="B190" s="11"/>
      <c r="C190" s="11"/>
    </row>
    <row r="191" spans="1:3" x14ac:dyDescent="0.2">
      <c r="A191" s="11"/>
      <c r="B191" s="11"/>
      <c r="C191" s="11"/>
    </row>
    <row r="192" spans="1:3" x14ac:dyDescent="0.2">
      <c r="A192" s="11"/>
      <c r="B192" s="11"/>
      <c r="C192" s="11"/>
    </row>
    <row r="193" spans="1:3" x14ac:dyDescent="0.2">
      <c r="A193" s="11"/>
      <c r="B193" s="11"/>
      <c r="C193" s="11"/>
    </row>
    <row r="194" spans="1:3" x14ac:dyDescent="0.2">
      <c r="A194" s="11"/>
      <c r="B194" s="11"/>
      <c r="C194" s="11"/>
    </row>
    <row r="195" spans="1:3" x14ac:dyDescent="0.2">
      <c r="A195" s="11"/>
      <c r="B195" s="11"/>
      <c r="C195" s="11"/>
    </row>
    <row r="196" spans="1:3" x14ac:dyDescent="0.2">
      <c r="A196" s="11"/>
      <c r="B196" s="11"/>
      <c r="C196" s="11"/>
    </row>
    <row r="197" spans="1:3" x14ac:dyDescent="0.2">
      <c r="A197" s="11"/>
      <c r="B197" s="11"/>
      <c r="C197" s="11"/>
    </row>
    <row r="198" spans="1:3" x14ac:dyDescent="0.2">
      <c r="A198" s="11"/>
      <c r="B198" s="11"/>
      <c r="C198" s="11"/>
    </row>
    <row r="199" spans="1:3" x14ac:dyDescent="0.2">
      <c r="A199" s="11"/>
      <c r="B199" s="11"/>
      <c r="C199" s="11"/>
    </row>
    <row r="200" spans="1:3" x14ac:dyDescent="0.2">
      <c r="A200" s="11"/>
      <c r="B200" s="11"/>
      <c r="C200" s="11"/>
    </row>
    <row r="201" spans="1:3" x14ac:dyDescent="0.2">
      <c r="A201" s="11"/>
      <c r="B201" s="11"/>
      <c r="C201" s="11"/>
    </row>
    <row r="202" spans="1:3" x14ac:dyDescent="0.2">
      <c r="A202" s="11"/>
      <c r="B202" s="11"/>
      <c r="C202" s="11"/>
    </row>
    <row r="203" spans="1:3" x14ac:dyDescent="0.2">
      <c r="A203" s="11"/>
      <c r="B203" s="11"/>
      <c r="C203" s="11"/>
    </row>
    <row r="204" spans="1:3" x14ac:dyDescent="0.2">
      <c r="A204" s="11"/>
      <c r="B204" s="11"/>
      <c r="C204" s="11"/>
    </row>
    <row r="205" spans="1:3" x14ac:dyDescent="0.2">
      <c r="A205" s="11"/>
      <c r="B205" s="11"/>
      <c r="C205" s="11"/>
    </row>
    <row r="206" spans="1:3" x14ac:dyDescent="0.2">
      <c r="A206" s="11"/>
      <c r="B206" s="11"/>
      <c r="C206" s="11"/>
    </row>
    <row r="207" spans="1:3" x14ac:dyDescent="0.2">
      <c r="A207" s="11"/>
      <c r="B207" s="11"/>
      <c r="C207" s="11"/>
    </row>
    <row r="208" spans="1:3" x14ac:dyDescent="0.2">
      <c r="A208" s="11"/>
      <c r="B208" s="11"/>
      <c r="C208" s="11"/>
    </row>
    <row r="209" spans="1:3" x14ac:dyDescent="0.2">
      <c r="A209" s="11"/>
      <c r="B209" s="11"/>
      <c r="C209" s="11"/>
    </row>
    <row r="210" spans="1:3" x14ac:dyDescent="0.2">
      <c r="A210" s="11"/>
      <c r="B210" s="11"/>
      <c r="C210" s="11"/>
    </row>
    <row r="211" spans="1:3" x14ac:dyDescent="0.2">
      <c r="A211" s="11"/>
      <c r="B211" s="11"/>
      <c r="C211" s="11"/>
    </row>
    <row r="212" spans="1:3" x14ac:dyDescent="0.2">
      <c r="A212" s="11"/>
      <c r="B212" s="11"/>
      <c r="C212" s="11"/>
    </row>
    <row r="213" spans="1:3" x14ac:dyDescent="0.2">
      <c r="A213" s="11"/>
      <c r="B213" s="11"/>
      <c r="C213" s="11"/>
    </row>
    <row r="214" spans="1:3" x14ac:dyDescent="0.2">
      <c r="A214" s="11"/>
      <c r="B214" s="11"/>
      <c r="C214" s="11"/>
    </row>
    <row r="215" spans="1:3" x14ac:dyDescent="0.2">
      <c r="A215" s="11"/>
      <c r="B215" s="11"/>
      <c r="C215" s="11"/>
    </row>
    <row r="216" spans="1:3" x14ac:dyDescent="0.2">
      <c r="A216" s="11"/>
      <c r="B216" s="11"/>
      <c r="C216" s="11"/>
    </row>
    <row r="217" spans="1:3" x14ac:dyDescent="0.2">
      <c r="A217" s="11"/>
      <c r="B217" s="11"/>
      <c r="C217" s="11"/>
    </row>
    <row r="218" spans="1:3" x14ac:dyDescent="0.2">
      <c r="A218" s="11"/>
      <c r="B218" s="11"/>
      <c r="C218" s="11"/>
    </row>
    <row r="219" spans="1:3" x14ac:dyDescent="0.2">
      <c r="A219" s="11"/>
      <c r="B219" s="11"/>
      <c r="C219" s="11"/>
    </row>
    <row r="220" spans="1:3" x14ac:dyDescent="0.2">
      <c r="A220" s="11"/>
      <c r="B220" s="11"/>
      <c r="C220" s="11"/>
    </row>
    <row r="221" spans="1:3" x14ac:dyDescent="0.2">
      <c r="A221" s="11"/>
      <c r="B221" s="11"/>
      <c r="C221" s="11"/>
    </row>
    <row r="222" spans="1:3" x14ac:dyDescent="0.2">
      <c r="A222" s="11"/>
      <c r="B222" s="11"/>
      <c r="C222" s="11"/>
    </row>
    <row r="223" spans="1:3" x14ac:dyDescent="0.2">
      <c r="A223" s="11"/>
      <c r="B223" s="11"/>
      <c r="C223" s="11"/>
    </row>
    <row r="224" spans="1:3" x14ac:dyDescent="0.2">
      <c r="A224" s="11"/>
      <c r="B224" s="11"/>
      <c r="C224" s="11"/>
    </row>
    <row r="225" spans="1:3" x14ac:dyDescent="0.2">
      <c r="A225" s="11"/>
      <c r="B225" s="11"/>
      <c r="C225" s="11"/>
    </row>
    <row r="226" spans="1:3" x14ac:dyDescent="0.2">
      <c r="A226" s="11"/>
      <c r="B226" s="11"/>
      <c r="C226" s="11"/>
    </row>
    <row r="227" spans="1:3" x14ac:dyDescent="0.2">
      <c r="A227" s="11"/>
      <c r="B227" s="11"/>
      <c r="C227" s="11"/>
    </row>
    <row r="228" spans="1:3" x14ac:dyDescent="0.2">
      <c r="A228" s="11"/>
      <c r="B228" s="11"/>
      <c r="C228" s="11"/>
    </row>
    <row r="229" spans="1:3" x14ac:dyDescent="0.2">
      <c r="A229" s="11"/>
      <c r="B229" s="11"/>
      <c r="C229" s="11"/>
    </row>
    <row r="230" spans="1:3" x14ac:dyDescent="0.2">
      <c r="A230" s="11"/>
      <c r="B230" s="11"/>
      <c r="C230" s="11"/>
    </row>
    <row r="231" spans="1:3" x14ac:dyDescent="0.2">
      <c r="A231" s="11"/>
      <c r="B231" s="11"/>
      <c r="C231" s="11"/>
    </row>
    <row r="232" spans="1:3" x14ac:dyDescent="0.2">
      <c r="A232" s="11"/>
      <c r="B232" s="11"/>
      <c r="C232" s="11"/>
    </row>
    <row r="233" spans="1:3" x14ac:dyDescent="0.2">
      <c r="A233" s="11"/>
      <c r="B233" s="11"/>
      <c r="C233" s="11"/>
    </row>
    <row r="234" spans="1:3" x14ac:dyDescent="0.2">
      <c r="A234" s="11"/>
      <c r="B234" s="11"/>
      <c r="C234" s="11"/>
    </row>
    <row r="235" spans="1:3" x14ac:dyDescent="0.2">
      <c r="A235" s="11"/>
      <c r="B235" s="11"/>
      <c r="C235" s="11"/>
    </row>
    <row r="236" spans="1:3" x14ac:dyDescent="0.2">
      <c r="A236" s="11"/>
      <c r="B236" s="11"/>
      <c r="C236" s="11"/>
    </row>
    <row r="237" spans="1:3" x14ac:dyDescent="0.2">
      <c r="A237" s="11"/>
      <c r="B237" s="11"/>
      <c r="C237" s="11"/>
    </row>
    <row r="238" spans="1:3" x14ac:dyDescent="0.2">
      <c r="A238" s="11"/>
      <c r="B238" s="11"/>
      <c r="C238" s="11"/>
    </row>
    <row r="239" spans="1:3" x14ac:dyDescent="0.2">
      <c r="A239" s="11"/>
      <c r="B239" s="11"/>
      <c r="C239" s="11"/>
    </row>
    <row r="240" spans="1:3" x14ac:dyDescent="0.2">
      <c r="A240" s="11"/>
      <c r="B240" s="11"/>
      <c r="C240" s="11"/>
    </row>
    <row r="241" spans="1:3" x14ac:dyDescent="0.2">
      <c r="A241" s="11"/>
      <c r="B241" s="11"/>
      <c r="C241" s="11"/>
    </row>
    <row r="242" spans="1:3" x14ac:dyDescent="0.2">
      <c r="A242" s="11"/>
      <c r="B242" s="11"/>
      <c r="C242" s="11"/>
    </row>
    <row r="243" spans="1:3" x14ac:dyDescent="0.2">
      <c r="A243" s="11"/>
      <c r="B243" s="11"/>
      <c r="C243" s="11"/>
    </row>
    <row r="244" spans="1:3" x14ac:dyDescent="0.2">
      <c r="A244" s="11"/>
      <c r="B244" s="11"/>
      <c r="C244" s="11"/>
    </row>
    <row r="245" spans="1:3" x14ac:dyDescent="0.2">
      <c r="A245" s="11"/>
      <c r="B245" s="11"/>
      <c r="C245" s="11"/>
    </row>
    <row r="246" spans="1:3" x14ac:dyDescent="0.2">
      <c r="A246" s="11"/>
      <c r="B246" s="11"/>
      <c r="C246" s="11"/>
    </row>
    <row r="247" spans="1:3" x14ac:dyDescent="0.2">
      <c r="A247" s="11"/>
      <c r="B247" s="11"/>
      <c r="C247" s="11"/>
    </row>
    <row r="248" spans="1:3" x14ac:dyDescent="0.2">
      <c r="A248" s="11"/>
      <c r="B248" s="11"/>
      <c r="C248" s="11"/>
    </row>
    <row r="249" spans="1:3" x14ac:dyDescent="0.2">
      <c r="A249" s="11"/>
      <c r="B249" s="11"/>
      <c r="C249" s="11"/>
    </row>
    <row r="250" spans="1:3" x14ac:dyDescent="0.2">
      <c r="A250" s="11"/>
      <c r="B250" s="11"/>
      <c r="C250" s="11"/>
    </row>
    <row r="251" spans="1:3" x14ac:dyDescent="0.2">
      <c r="A251" s="11"/>
      <c r="B251" s="11"/>
      <c r="C251" s="11"/>
    </row>
    <row r="252" spans="1:3" x14ac:dyDescent="0.2">
      <c r="A252" s="11"/>
      <c r="B252" s="11"/>
      <c r="C252" s="11"/>
    </row>
    <row r="253" spans="1:3" x14ac:dyDescent="0.2">
      <c r="A253" s="11"/>
      <c r="B253" s="11"/>
      <c r="C253" s="11"/>
    </row>
    <row r="254" spans="1:3" x14ac:dyDescent="0.2">
      <c r="A254" s="11"/>
      <c r="B254" s="11"/>
      <c r="C254" s="11"/>
    </row>
    <row r="255" spans="1:3" x14ac:dyDescent="0.2">
      <c r="A255" s="11"/>
      <c r="B255" s="11"/>
      <c r="C255" s="11"/>
    </row>
    <row r="256" spans="1:3" x14ac:dyDescent="0.2">
      <c r="A256" s="11"/>
      <c r="B256" s="11"/>
      <c r="C256" s="11"/>
    </row>
    <row r="257" spans="1:3" x14ac:dyDescent="0.2">
      <c r="A257" s="11"/>
      <c r="B257" s="11"/>
      <c r="C257" s="11"/>
    </row>
    <row r="258" spans="1:3" x14ac:dyDescent="0.2">
      <c r="A258" s="11"/>
      <c r="B258" s="11"/>
      <c r="C258" s="11"/>
    </row>
    <row r="259" spans="1:3" x14ac:dyDescent="0.2">
      <c r="A259" s="11"/>
      <c r="B259" s="11"/>
      <c r="C259" s="11"/>
    </row>
    <row r="260" spans="1:3" x14ac:dyDescent="0.2">
      <c r="A260" s="11"/>
      <c r="B260" s="11"/>
      <c r="C260" s="11"/>
    </row>
    <row r="261" spans="1:3" x14ac:dyDescent="0.2">
      <c r="A261" s="11"/>
      <c r="B261" s="11"/>
      <c r="C261" s="11"/>
    </row>
    <row r="262" spans="1:3" x14ac:dyDescent="0.2">
      <c r="A262" s="11"/>
      <c r="B262" s="11"/>
      <c r="C262" s="11"/>
    </row>
    <row r="263" spans="1:3" x14ac:dyDescent="0.2">
      <c r="A263" s="11"/>
      <c r="B263" s="11"/>
      <c r="C263" s="11"/>
    </row>
    <row r="264" spans="1:3" x14ac:dyDescent="0.2">
      <c r="A264" s="11"/>
      <c r="B264" s="11"/>
      <c r="C264" s="11"/>
    </row>
    <row r="265" spans="1:3" x14ac:dyDescent="0.2">
      <c r="A265" s="11"/>
      <c r="B265" s="11"/>
      <c r="C265" s="11"/>
    </row>
    <row r="266" spans="1:3" x14ac:dyDescent="0.2">
      <c r="A266" s="11"/>
      <c r="B266" s="11"/>
      <c r="C266" s="11"/>
    </row>
    <row r="267" spans="1:3" x14ac:dyDescent="0.2">
      <c r="A267" s="11"/>
      <c r="B267" s="11"/>
      <c r="C267" s="11"/>
    </row>
    <row r="268" spans="1:3" x14ac:dyDescent="0.2">
      <c r="A268" s="11"/>
      <c r="B268" s="11"/>
      <c r="C268" s="11"/>
    </row>
    <row r="269" spans="1:3" x14ac:dyDescent="0.2">
      <c r="A269" s="11"/>
      <c r="B269" s="11"/>
      <c r="C269" s="11"/>
    </row>
    <row r="270" spans="1:3" x14ac:dyDescent="0.2">
      <c r="A270" s="11"/>
      <c r="B270" s="11"/>
      <c r="C270" s="11"/>
    </row>
    <row r="271" spans="1:3" x14ac:dyDescent="0.2">
      <c r="A271" s="11"/>
      <c r="B271" s="11"/>
      <c r="C271" s="11"/>
    </row>
    <row r="272" spans="1:3" x14ac:dyDescent="0.2">
      <c r="A272" s="11"/>
      <c r="B272" s="11"/>
      <c r="C272" s="11"/>
    </row>
    <row r="273" spans="1:3" x14ac:dyDescent="0.2">
      <c r="A273" s="11"/>
      <c r="B273" s="11"/>
      <c r="C273" s="11"/>
    </row>
    <row r="274" spans="1:3" x14ac:dyDescent="0.2">
      <c r="A274" s="11"/>
      <c r="B274" s="11"/>
      <c r="C274" s="11"/>
    </row>
    <row r="275" spans="1:3" x14ac:dyDescent="0.2">
      <c r="A275" s="11"/>
      <c r="B275" s="11"/>
      <c r="C275" s="11"/>
    </row>
    <row r="276" spans="1:3" x14ac:dyDescent="0.2">
      <c r="A276" s="11"/>
      <c r="B276" s="11"/>
      <c r="C276" s="11"/>
    </row>
    <row r="277" spans="1:3" x14ac:dyDescent="0.2">
      <c r="A277" s="11"/>
      <c r="B277" s="11"/>
      <c r="C277" s="11"/>
    </row>
    <row r="278" spans="1:3" x14ac:dyDescent="0.2">
      <c r="A278" s="11"/>
      <c r="B278" s="11"/>
      <c r="C278" s="11"/>
    </row>
    <row r="279" spans="1:3" x14ac:dyDescent="0.2">
      <c r="A279" s="11"/>
      <c r="B279" s="11"/>
      <c r="C279" s="11"/>
    </row>
    <row r="280" spans="1:3" x14ac:dyDescent="0.2">
      <c r="A280" s="11"/>
      <c r="B280" s="11"/>
      <c r="C280" s="11"/>
    </row>
    <row r="281" spans="1:3" x14ac:dyDescent="0.2">
      <c r="A281" s="11"/>
      <c r="B281" s="11"/>
      <c r="C281" s="11"/>
    </row>
    <row r="282" spans="1:3" x14ac:dyDescent="0.2">
      <c r="A282" s="11"/>
      <c r="B282" s="11"/>
      <c r="C282" s="11"/>
    </row>
    <row r="283" spans="1:3" x14ac:dyDescent="0.2">
      <c r="A283" s="11"/>
      <c r="B283" s="11"/>
      <c r="C283" s="11"/>
    </row>
    <row r="284" spans="1:3" x14ac:dyDescent="0.2">
      <c r="A284" s="11"/>
      <c r="B284" s="11"/>
      <c r="C284" s="11"/>
    </row>
    <row r="285" spans="1:3" x14ac:dyDescent="0.2">
      <c r="A285" s="11"/>
      <c r="B285" s="11"/>
      <c r="C285" s="11"/>
    </row>
    <row r="286" spans="1:3" x14ac:dyDescent="0.2">
      <c r="A286" s="11"/>
      <c r="B286" s="11"/>
      <c r="C286" s="11"/>
    </row>
    <row r="287" spans="1:3" x14ac:dyDescent="0.2">
      <c r="A287" s="11"/>
      <c r="B287" s="11"/>
      <c r="C287" s="11"/>
    </row>
    <row r="288" spans="1:3" x14ac:dyDescent="0.2">
      <c r="A288" s="11"/>
      <c r="B288" s="11"/>
      <c r="C288" s="11"/>
    </row>
    <row r="289" spans="1:3" x14ac:dyDescent="0.2">
      <c r="A289" s="11"/>
      <c r="B289" s="11"/>
      <c r="C289" s="11"/>
    </row>
    <row r="290" spans="1:3" x14ac:dyDescent="0.2">
      <c r="A290" s="11"/>
      <c r="B290" s="11"/>
      <c r="C290" s="11"/>
    </row>
    <row r="291" spans="1:3" x14ac:dyDescent="0.2">
      <c r="A291" s="11"/>
      <c r="B291" s="11"/>
      <c r="C291" s="11"/>
    </row>
    <row r="292" spans="1:3" x14ac:dyDescent="0.2">
      <c r="A292" s="11"/>
      <c r="B292" s="11"/>
      <c r="C292" s="11"/>
    </row>
    <row r="293" spans="1:3" x14ac:dyDescent="0.2">
      <c r="A293" s="11"/>
      <c r="B293" s="11"/>
      <c r="C293" s="11"/>
    </row>
    <row r="294" spans="1:3" x14ac:dyDescent="0.2">
      <c r="A294" s="11"/>
      <c r="B294" s="11"/>
      <c r="C294" s="11"/>
    </row>
    <row r="295" spans="1:3" x14ac:dyDescent="0.2">
      <c r="A295" s="11"/>
      <c r="B295" s="11"/>
      <c r="C295" s="11"/>
    </row>
    <row r="296" spans="1:3" x14ac:dyDescent="0.2">
      <c r="A296" s="11"/>
      <c r="B296" s="11"/>
      <c r="C296" s="11"/>
    </row>
    <row r="297" spans="1:3" x14ac:dyDescent="0.2">
      <c r="A297" s="11"/>
      <c r="B297" s="11"/>
      <c r="C297" s="11"/>
    </row>
    <row r="298" spans="1:3" x14ac:dyDescent="0.2">
      <c r="A298" s="11"/>
      <c r="B298" s="11"/>
      <c r="C298" s="11"/>
    </row>
    <row r="299" spans="1:3" x14ac:dyDescent="0.2">
      <c r="A299" s="11"/>
      <c r="B299" s="11"/>
      <c r="C299" s="11"/>
    </row>
    <row r="300" spans="1:3" x14ac:dyDescent="0.2">
      <c r="A300" s="11"/>
      <c r="B300" s="11"/>
      <c r="C300" s="11"/>
    </row>
    <row r="301" spans="1:3" x14ac:dyDescent="0.2">
      <c r="A301" s="11"/>
      <c r="B301" s="11"/>
      <c r="C301" s="11"/>
    </row>
    <row r="302" spans="1:3" x14ac:dyDescent="0.2">
      <c r="A302" s="11"/>
      <c r="B302" s="11"/>
      <c r="C302" s="11"/>
    </row>
    <row r="303" spans="1:3" x14ac:dyDescent="0.2">
      <c r="A303" s="11"/>
      <c r="B303" s="11"/>
      <c r="C303" s="11"/>
    </row>
    <row r="304" spans="1:3" x14ac:dyDescent="0.2">
      <c r="A304" s="11"/>
      <c r="B304" s="11"/>
      <c r="C304" s="11"/>
    </row>
    <row r="305" spans="1:3" x14ac:dyDescent="0.2">
      <c r="A305" s="11"/>
      <c r="B305" s="11"/>
      <c r="C305" s="11"/>
    </row>
    <row r="306" spans="1:3" x14ac:dyDescent="0.2">
      <c r="A306" s="11"/>
      <c r="B306" s="11"/>
      <c r="C306" s="11"/>
    </row>
    <row r="307" spans="1:3" x14ac:dyDescent="0.2">
      <c r="A307" s="11"/>
      <c r="B307" s="11"/>
      <c r="C307" s="11"/>
    </row>
    <row r="308" spans="1:3" x14ac:dyDescent="0.2">
      <c r="A308" s="11"/>
      <c r="B308" s="11"/>
      <c r="C308" s="11"/>
    </row>
    <row r="309" spans="1:3" x14ac:dyDescent="0.2">
      <c r="A309" s="11"/>
      <c r="B309" s="11"/>
      <c r="C309" s="11"/>
    </row>
    <row r="310" spans="1:3" x14ac:dyDescent="0.2">
      <c r="A310" s="11"/>
      <c r="B310" s="11"/>
      <c r="C310" s="11"/>
    </row>
    <row r="311" spans="1:3" x14ac:dyDescent="0.2">
      <c r="A311" s="11"/>
      <c r="B311" s="11"/>
      <c r="C311" s="11"/>
    </row>
    <row r="312" spans="1:3" x14ac:dyDescent="0.2">
      <c r="A312" s="11"/>
      <c r="B312" s="11"/>
      <c r="C312" s="11"/>
    </row>
    <row r="313" spans="1:3" x14ac:dyDescent="0.2">
      <c r="A313" s="11"/>
      <c r="B313" s="11"/>
      <c r="C313" s="11"/>
    </row>
    <row r="314" spans="1:3" x14ac:dyDescent="0.2">
      <c r="A314" s="11"/>
      <c r="B314" s="11"/>
      <c r="C314" s="11"/>
    </row>
    <row r="315" spans="1:3" x14ac:dyDescent="0.2">
      <c r="A315" s="11"/>
      <c r="B315" s="11"/>
      <c r="C315" s="11"/>
    </row>
    <row r="316" spans="1:3" x14ac:dyDescent="0.2">
      <c r="A316" s="11"/>
      <c r="B316" s="11"/>
      <c r="C316" s="11"/>
    </row>
    <row r="317" spans="1:3" x14ac:dyDescent="0.2">
      <c r="A317" s="11"/>
      <c r="B317" s="11"/>
      <c r="C317" s="11"/>
    </row>
    <row r="318" spans="1:3" x14ac:dyDescent="0.2">
      <c r="A318" s="11"/>
      <c r="B318" s="11"/>
      <c r="C318" s="11"/>
    </row>
    <row r="319" spans="1:3" x14ac:dyDescent="0.2">
      <c r="A319" s="11"/>
      <c r="B319" s="11"/>
      <c r="C319" s="11"/>
    </row>
    <row r="320" spans="1:3" x14ac:dyDescent="0.2">
      <c r="A320" s="11"/>
      <c r="B320" s="11"/>
      <c r="C320" s="11"/>
    </row>
    <row r="321" spans="1:3" x14ac:dyDescent="0.2">
      <c r="A321" s="11"/>
      <c r="B321" s="11"/>
      <c r="C321" s="11"/>
    </row>
    <row r="322" spans="1:3" x14ac:dyDescent="0.2">
      <c r="A322" s="11"/>
      <c r="B322" s="11"/>
      <c r="C322" s="11"/>
    </row>
    <row r="323" spans="1:3" x14ac:dyDescent="0.2">
      <c r="A323" s="11"/>
      <c r="B323" s="11"/>
      <c r="C323" s="11"/>
    </row>
    <row r="324" spans="1:3" x14ac:dyDescent="0.2">
      <c r="A324" s="11"/>
      <c r="B324" s="11"/>
      <c r="C324" s="11"/>
    </row>
    <row r="325" spans="1:3" x14ac:dyDescent="0.2">
      <c r="A325" s="11"/>
      <c r="B325" s="11"/>
      <c r="C325" s="11"/>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57"/>
  <sheetViews>
    <sheetView workbookViewId="0">
      <pane ySplit="1" topLeftCell="A2" activePane="bottomLeft" state="frozen"/>
      <selection pane="bottomLeft"/>
    </sheetView>
  </sheetViews>
  <sheetFormatPr defaultRowHeight="12.75" x14ac:dyDescent="0.2"/>
  <cols>
    <col min="1" max="1" width="9.28515625" style="1" customWidth="1"/>
    <col min="2" max="2" width="14.5703125" style="1" customWidth="1"/>
    <col min="3" max="3" width="9.140625" style="1"/>
    <col min="4" max="4" width="56.85546875" style="14" customWidth="1"/>
    <col min="5" max="5" width="10.28515625" style="13" bestFit="1" customWidth="1"/>
    <col min="6" max="16384" width="9.140625" style="1"/>
  </cols>
  <sheetData>
    <row r="1" spans="1:6" s="7" customFormat="1" x14ac:dyDescent="0.2">
      <c r="A1" s="7" t="s">
        <v>11</v>
      </c>
      <c r="B1" s="7" t="s">
        <v>12</v>
      </c>
      <c r="C1" s="7" t="s">
        <v>331</v>
      </c>
      <c r="D1" s="12" t="s">
        <v>332</v>
      </c>
      <c r="E1" s="13" t="s">
        <v>333</v>
      </c>
      <c r="F1" s="7" t="s">
        <v>334</v>
      </c>
    </row>
    <row r="2" spans="1:6" x14ac:dyDescent="0.2">
      <c r="A2" s="1">
        <v>67051</v>
      </c>
      <c r="B2" s="1" t="s">
        <v>410</v>
      </c>
      <c r="C2" s="1" t="s">
        <v>335</v>
      </c>
      <c r="D2" s="14" t="s">
        <v>426</v>
      </c>
      <c r="E2" s="13">
        <v>1411</v>
      </c>
      <c r="F2" s="1">
        <v>71.33</v>
      </c>
    </row>
    <row r="3" spans="1:6" x14ac:dyDescent="0.2">
      <c r="A3" s="1">
        <v>67051</v>
      </c>
      <c r="B3" s="1" t="s">
        <v>410</v>
      </c>
      <c r="C3" s="1" t="s">
        <v>337</v>
      </c>
      <c r="D3" s="14" t="s">
        <v>338</v>
      </c>
      <c r="E3" s="13">
        <v>567</v>
      </c>
      <c r="F3" s="1">
        <v>28.670000000000005</v>
      </c>
    </row>
    <row r="4" spans="1:6" x14ac:dyDescent="0.2">
      <c r="A4" s="1">
        <v>62376</v>
      </c>
      <c r="B4" s="1" t="s">
        <v>307</v>
      </c>
      <c r="C4" s="1" t="s">
        <v>335</v>
      </c>
      <c r="D4" s="14" t="s">
        <v>336</v>
      </c>
      <c r="E4" s="13">
        <v>1297</v>
      </c>
      <c r="F4" s="1">
        <v>65.569999999999979</v>
      </c>
    </row>
    <row r="5" spans="1:6" x14ac:dyDescent="0.2">
      <c r="A5" s="1">
        <v>62376</v>
      </c>
      <c r="B5" s="1" t="s">
        <v>307</v>
      </c>
      <c r="C5" s="1" t="s">
        <v>337</v>
      </c>
      <c r="D5" s="15" t="s">
        <v>338</v>
      </c>
      <c r="E5" s="13">
        <v>360</v>
      </c>
      <c r="F5" s="1">
        <v>18.2</v>
      </c>
    </row>
    <row r="6" spans="1:6" x14ac:dyDescent="0.2">
      <c r="A6" s="1">
        <v>62376</v>
      </c>
      <c r="B6" s="1" t="s">
        <v>307</v>
      </c>
      <c r="C6" s="1" t="s">
        <v>339</v>
      </c>
      <c r="D6" s="14" t="s">
        <v>349</v>
      </c>
      <c r="E6" s="13">
        <v>321</v>
      </c>
      <c r="F6" s="1">
        <v>16.23</v>
      </c>
    </row>
    <row r="16" spans="1:6" x14ac:dyDescent="0.2">
      <c r="D16" s="1"/>
    </row>
    <row r="17" s="1" customFormat="1" x14ac:dyDescent="0.2"/>
    <row r="18" s="1" customFormat="1" x14ac:dyDescent="0.2"/>
    <row r="19" s="1" customFormat="1" x14ac:dyDescent="0.2"/>
    <row r="20" s="1" customFormat="1" x14ac:dyDescent="0.2"/>
    <row r="21" s="1" customFormat="1" x14ac:dyDescent="0.2"/>
    <row r="22" s="1" customFormat="1" x14ac:dyDescent="0.2"/>
    <row r="23" s="1" customFormat="1" x14ac:dyDescent="0.2"/>
    <row r="24" s="1" customFormat="1" x14ac:dyDescent="0.2"/>
    <row r="25" s="1" customFormat="1" x14ac:dyDescent="0.2"/>
    <row r="26" s="1" customFormat="1" x14ac:dyDescent="0.2"/>
    <row r="27" s="1" customFormat="1" x14ac:dyDescent="0.2"/>
    <row r="28" s="1" customFormat="1" x14ac:dyDescent="0.2"/>
    <row r="29" s="1" customFormat="1" x14ac:dyDescent="0.2"/>
    <row r="30" s="1" customFormat="1" x14ac:dyDescent="0.2"/>
    <row r="31" s="1" customFormat="1" x14ac:dyDescent="0.2"/>
    <row r="32" s="1" customFormat="1" x14ac:dyDescent="0.2"/>
    <row r="33" s="1" customFormat="1" x14ac:dyDescent="0.2"/>
    <row r="34" s="1" customFormat="1" x14ac:dyDescent="0.2"/>
    <row r="35" s="1" customFormat="1" x14ac:dyDescent="0.2"/>
    <row r="36" s="1" customFormat="1" x14ac:dyDescent="0.2"/>
    <row r="37" s="1" customFormat="1" x14ac:dyDescent="0.2"/>
    <row r="38" s="1" customFormat="1" x14ac:dyDescent="0.2"/>
    <row r="39" s="1" customFormat="1" x14ac:dyDescent="0.2"/>
    <row r="40" s="1" customFormat="1" x14ac:dyDescent="0.2"/>
    <row r="41" s="1" customFormat="1" x14ac:dyDescent="0.2"/>
    <row r="42" s="1" customFormat="1" x14ac:dyDescent="0.2"/>
    <row r="43" s="1" customFormat="1" x14ac:dyDescent="0.2"/>
    <row r="44" s="1" customFormat="1" x14ac:dyDescent="0.2"/>
    <row r="45" s="1" customFormat="1" x14ac:dyDescent="0.2"/>
    <row r="46" s="1" customFormat="1" x14ac:dyDescent="0.2"/>
    <row r="47" s="1" customFormat="1" x14ac:dyDescent="0.2"/>
    <row r="48" s="1" customFormat="1" x14ac:dyDescent="0.2"/>
    <row r="49" s="1" customFormat="1" x14ac:dyDescent="0.2"/>
    <row r="50" s="1" customFormat="1" x14ac:dyDescent="0.2"/>
    <row r="51" s="1" customFormat="1" x14ac:dyDescent="0.2"/>
    <row r="52" s="1" customFormat="1" x14ac:dyDescent="0.2"/>
    <row r="53" s="1" customFormat="1" x14ac:dyDescent="0.2"/>
    <row r="54" s="1" customFormat="1" x14ac:dyDescent="0.2"/>
    <row r="55" s="1" customFormat="1" x14ac:dyDescent="0.2"/>
    <row r="56" s="1" customFormat="1" x14ac:dyDescent="0.2"/>
    <row r="57" s="1" customFormat="1" x14ac:dyDescent="0.2"/>
    <row r="58" s="1" customFormat="1" x14ac:dyDescent="0.2"/>
    <row r="59" s="1" customFormat="1" x14ac:dyDescent="0.2"/>
    <row r="60" s="1" customFormat="1" x14ac:dyDescent="0.2"/>
    <row r="61" s="1" customFormat="1" x14ac:dyDescent="0.2"/>
    <row r="62" s="1" customFormat="1" x14ac:dyDescent="0.2"/>
    <row r="63" s="1" customFormat="1" x14ac:dyDescent="0.2"/>
    <row r="64" s="1" customFormat="1" x14ac:dyDescent="0.2"/>
    <row r="65" spans="4:5" x14ac:dyDescent="0.2">
      <c r="D65" s="1"/>
      <c r="E65" s="1"/>
    </row>
    <row r="66" spans="4:5" x14ac:dyDescent="0.2">
      <c r="D66" s="1"/>
      <c r="E66" s="1"/>
    </row>
    <row r="67" spans="4:5" x14ac:dyDescent="0.2">
      <c r="D67" s="1"/>
      <c r="E67" s="1"/>
    </row>
    <row r="68" spans="4:5" x14ac:dyDescent="0.2">
      <c r="D68" s="1"/>
      <c r="E68" s="1"/>
    </row>
    <row r="69" spans="4:5" x14ac:dyDescent="0.2">
      <c r="D69" s="1"/>
      <c r="E69" s="1"/>
    </row>
    <row r="70" spans="4:5" x14ac:dyDescent="0.2">
      <c r="D70" s="1"/>
      <c r="E70" s="1"/>
    </row>
    <row r="71" spans="4:5" x14ac:dyDescent="0.2">
      <c r="D71" s="1"/>
      <c r="E71" s="1"/>
    </row>
    <row r="72" spans="4:5" x14ac:dyDescent="0.2">
      <c r="D72" s="1"/>
      <c r="E72" s="1"/>
    </row>
    <row r="73" spans="4:5" x14ac:dyDescent="0.2">
      <c r="D73" s="1"/>
      <c r="E73" s="1"/>
    </row>
    <row r="74" spans="4:5" x14ac:dyDescent="0.2">
      <c r="D74" s="1"/>
      <c r="E74" s="1"/>
    </row>
    <row r="75" spans="4:5" x14ac:dyDescent="0.2">
      <c r="D75" s="1"/>
      <c r="E75" s="1"/>
    </row>
    <row r="76" spans="4:5" x14ac:dyDescent="0.2">
      <c r="D76" s="1"/>
      <c r="E76" s="1"/>
    </row>
    <row r="77" spans="4:5" x14ac:dyDescent="0.2">
      <c r="D77" s="1"/>
      <c r="E77" s="1"/>
    </row>
    <row r="78" spans="4:5" x14ac:dyDescent="0.2">
      <c r="D78" s="1"/>
      <c r="E78" s="1"/>
    </row>
    <row r="79" spans="4:5" x14ac:dyDescent="0.2">
      <c r="D79" s="1"/>
      <c r="E79" s="1"/>
    </row>
    <row r="80" spans="4:5" x14ac:dyDescent="0.2">
      <c r="D80" s="1"/>
      <c r="E80" s="1"/>
    </row>
    <row r="81" spans="4:5" x14ac:dyDescent="0.2">
      <c r="D81" s="1"/>
      <c r="E81" s="1"/>
    </row>
    <row r="82" spans="4:5" x14ac:dyDescent="0.2">
      <c r="D82" s="1"/>
      <c r="E82" s="1"/>
    </row>
    <row r="83" spans="4:5" x14ac:dyDescent="0.2">
      <c r="D83" s="1"/>
      <c r="E83" s="1"/>
    </row>
    <row r="84" spans="4:5" x14ac:dyDescent="0.2">
      <c r="D84" s="1"/>
      <c r="E84" s="1"/>
    </row>
    <row r="85" spans="4:5" x14ac:dyDescent="0.2">
      <c r="D85" s="1"/>
      <c r="E85" s="1"/>
    </row>
    <row r="86" spans="4:5" x14ac:dyDescent="0.2">
      <c r="D86" s="1"/>
      <c r="E86" s="1"/>
    </row>
    <row r="87" spans="4:5" x14ac:dyDescent="0.2">
      <c r="D87" s="1"/>
      <c r="E87" s="1"/>
    </row>
    <row r="88" spans="4:5" x14ac:dyDescent="0.2">
      <c r="D88" s="1"/>
      <c r="E88" s="1"/>
    </row>
    <row r="89" spans="4:5" x14ac:dyDescent="0.2">
      <c r="D89" s="1"/>
      <c r="E89" s="1"/>
    </row>
    <row r="90" spans="4:5" x14ac:dyDescent="0.2">
      <c r="D90" s="1"/>
      <c r="E90" s="1"/>
    </row>
    <row r="91" spans="4:5" x14ac:dyDescent="0.2">
      <c r="D91" s="1"/>
      <c r="E91" s="1"/>
    </row>
    <row r="92" spans="4:5" x14ac:dyDescent="0.2">
      <c r="D92" s="1"/>
      <c r="E92" s="1"/>
    </row>
    <row r="93" spans="4:5" x14ac:dyDescent="0.2">
      <c r="D93" s="1"/>
      <c r="E93" s="1"/>
    </row>
    <row r="94" spans="4:5" x14ac:dyDescent="0.2">
      <c r="D94" s="1"/>
      <c r="E94" s="1"/>
    </row>
    <row r="95" spans="4:5" x14ac:dyDescent="0.2">
      <c r="D95" s="1"/>
      <c r="E95" s="1"/>
    </row>
    <row r="96" spans="4:5" x14ac:dyDescent="0.2">
      <c r="D96" s="1"/>
      <c r="E96" s="1"/>
    </row>
    <row r="97" spans="4:5" x14ac:dyDescent="0.2">
      <c r="D97" s="1"/>
      <c r="E97" s="1"/>
    </row>
    <row r="98" spans="4:5" x14ac:dyDescent="0.2">
      <c r="D98" s="1"/>
      <c r="E98" s="1"/>
    </row>
    <row r="99" spans="4:5" x14ac:dyDescent="0.2">
      <c r="D99" s="1"/>
      <c r="E99" s="1"/>
    </row>
    <row r="100" spans="4:5" x14ac:dyDescent="0.2">
      <c r="D100" s="1"/>
      <c r="E100" s="1"/>
    </row>
    <row r="101" spans="4:5" x14ac:dyDescent="0.2">
      <c r="D101" s="1"/>
      <c r="E101" s="1"/>
    </row>
    <row r="102" spans="4:5" x14ac:dyDescent="0.2">
      <c r="D102" s="1"/>
      <c r="E102" s="1"/>
    </row>
    <row r="103" spans="4:5" x14ac:dyDescent="0.2">
      <c r="D103" s="1"/>
      <c r="E103" s="1"/>
    </row>
    <row r="104" spans="4:5" x14ac:dyDescent="0.2">
      <c r="D104" s="1"/>
      <c r="E104" s="1"/>
    </row>
    <row r="105" spans="4:5" x14ac:dyDescent="0.2">
      <c r="D105" s="1"/>
      <c r="E105" s="1"/>
    </row>
    <row r="106" spans="4:5" x14ac:dyDescent="0.2">
      <c r="D106" s="1"/>
      <c r="E106" s="1"/>
    </row>
    <row r="107" spans="4:5" x14ac:dyDescent="0.2">
      <c r="D107" s="1"/>
      <c r="E107" s="1"/>
    </row>
    <row r="108" spans="4:5" x14ac:dyDescent="0.2">
      <c r="D108" s="1"/>
      <c r="E108" s="1"/>
    </row>
    <row r="109" spans="4:5" x14ac:dyDescent="0.2">
      <c r="D109" s="1"/>
      <c r="E109" s="1"/>
    </row>
    <row r="110" spans="4:5" x14ac:dyDescent="0.2">
      <c r="D110" s="1"/>
      <c r="E110" s="1"/>
    </row>
    <row r="111" spans="4:5" x14ac:dyDescent="0.2">
      <c r="D111" s="1"/>
      <c r="E111" s="1"/>
    </row>
    <row r="112" spans="4:5" x14ac:dyDescent="0.2">
      <c r="D112" s="1"/>
      <c r="E112" s="1"/>
    </row>
    <row r="113" spans="4:5" x14ac:dyDescent="0.2">
      <c r="D113" s="1"/>
      <c r="E113" s="1"/>
    </row>
    <row r="114" spans="4:5" x14ac:dyDescent="0.2">
      <c r="D114" s="1"/>
      <c r="E114" s="1"/>
    </row>
    <row r="115" spans="4:5" x14ac:dyDescent="0.2">
      <c r="D115" s="1"/>
      <c r="E115" s="1"/>
    </row>
    <row r="116" spans="4:5" x14ac:dyDescent="0.2">
      <c r="D116" s="1"/>
      <c r="E116" s="1"/>
    </row>
    <row r="117" spans="4:5" x14ac:dyDescent="0.2">
      <c r="D117" s="1"/>
      <c r="E117" s="1"/>
    </row>
    <row r="118" spans="4:5" x14ac:dyDescent="0.2">
      <c r="D118" s="1"/>
      <c r="E118" s="1"/>
    </row>
    <row r="119" spans="4:5" x14ac:dyDescent="0.2">
      <c r="D119" s="1"/>
      <c r="E119" s="16"/>
    </row>
    <row r="120" spans="4:5" x14ac:dyDescent="0.2">
      <c r="D120" s="1"/>
      <c r="E120" s="16"/>
    </row>
    <row r="121" spans="4:5" x14ac:dyDescent="0.2">
      <c r="D121" s="1"/>
      <c r="E121" s="16"/>
    </row>
    <row r="122" spans="4:5" x14ac:dyDescent="0.2">
      <c r="D122" s="1"/>
      <c r="E122" s="16"/>
    </row>
    <row r="123" spans="4:5" x14ac:dyDescent="0.2">
      <c r="D123" s="1"/>
      <c r="E123" s="16"/>
    </row>
    <row r="124" spans="4:5" x14ac:dyDescent="0.2">
      <c r="D124" s="1"/>
      <c r="E124" s="16"/>
    </row>
    <row r="125" spans="4:5" x14ac:dyDescent="0.2">
      <c r="D125" s="1"/>
      <c r="E125" s="16"/>
    </row>
    <row r="126" spans="4:5" x14ac:dyDescent="0.2">
      <c r="D126" s="1"/>
      <c r="E126" s="16"/>
    </row>
    <row r="127" spans="4:5" x14ac:dyDescent="0.2">
      <c r="D127" s="1"/>
      <c r="E127" s="16"/>
    </row>
    <row r="128" spans="4:5" x14ac:dyDescent="0.2">
      <c r="E128" s="16"/>
    </row>
    <row r="129" spans="4:5" x14ac:dyDescent="0.2">
      <c r="E129" s="16"/>
    </row>
    <row r="130" spans="4:5" x14ac:dyDescent="0.2">
      <c r="E130" s="16"/>
    </row>
    <row r="131" spans="4:5" x14ac:dyDescent="0.2">
      <c r="E131" s="16"/>
    </row>
    <row r="132" spans="4:5" x14ac:dyDescent="0.2">
      <c r="E132" s="16"/>
    </row>
    <row r="133" spans="4:5" x14ac:dyDescent="0.2">
      <c r="D133" s="15"/>
      <c r="E133" s="16"/>
    </row>
    <row r="134" spans="4:5" x14ac:dyDescent="0.2">
      <c r="E134" s="16"/>
    </row>
    <row r="135" spans="4:5" x14ac:dyDescent="0.2">
      <c r="E135" s="16"/>
    </row>
    <row r="136" spans="4:5" x14ac:dyDescent="0.2">
      <c r="E136" s="16"/>
    </row>
    <row r="137" spans="4:5" x14ac:dyDescent="0.2">
      <c r="D137" s="15"/>
      <c r="E137" s="16"/>
    </row>
    <row r="138" spans="4:5" x14ac:dyDescent="0.2">
      <c r="E138" s="16"/>
    </row>
    <row r="139" spans="4:5" x14ac:dyDescent="0.2">
      <c r="E139" s="16"/>
    </row>
    <row r="140" spans="4:5" x14ac:dyDescent="0.2">
      <c r="E140" s="16"/>
    </row>
    <row r="141" spans="4:5" x14ac:dyDescent="0.2">
      <c r="E141" s="16"/>
    </row>
    <row r="142" spans="4:5" x14ac:dyDescent="0.2">
      <c r="D142" s="15"/>
      <c r="E142" s="16"/>
    </row>
    <row r="143" spans="4:5" x14ac:dyDescent="0.2">
      <c r="E143" s="16"/>
    </row>
    <row r="144" spans="4:5" x14ac:dyDescent="0.2">
      <c r="E144" s="16"/>
    </row>
    <row r="145" spans="4:5" x14ac:dyDescent="0.2">
      <c r="E145" s="16"/>
    </row>
    <row r="146" spans="4:5" x14ac:dyDescent="0.2">
      <c r="E146" s="16"/>
    </row>
    <row r="147" spans="4:5" x14ac:dyDescent="0.2">
      <c r="E147" s="16"/>
    </row>
    <row r="148" spans="4:5" x14ac:dyDescent="0.2">
      <c r="D148" s="15"/>
      <c r="E148" s="16"/>
    </row>
    <row r="149" spans="4:5" x14ac:dyDescent="0.2">
      <c r="E149" s="16"/>
    </row>
    <row r="150" spans="4:5" x14ac:dyDescent="0.2">
      <c r="E150" s="16"/>
    </row>
    <row r="151" spans="4:5" x14ac:dyDescent="0.2">
      <c r="E151" s="16"/>
    </row>
    <row r="152" spans="4:5" x14ac:dyDescent="0.2">
      <c r="E152" s="16"/>
    </row>
    <row r="153" spans="4:5" x14ac:dyDescent="0.2">
      <c r="E153" s="16"/>
    </row>
    <row r="154" spans="4:5" x14ac:dyDescent="0.2">
      <c r="D154" s="15"/>
      <c r="E154" s="16"/>
    </row>
    <row r="155" spans="4:5" x14ac:dyDescent="0.2">
      <c r="E155" s="16"/>
    </row>
    <row r="156" spans="4:5" x14ac:dyDescent="0.2">
      <c r="E156" s="16"/>
    </row>
    <row r="157" spans="4:5" x14ac:dyDescent="0.2">
      <c r="E157" s="16"/>
    </row>
    <row r="158" spans="4:5" x14ac:dyDescent="0.2">
      <c r="E158" s="16"/>
    </row>
    <row r="159" spans="4:5" x14ac:dyDescent="0.2">
      <c r="E159" s="16"/>
    </row>
    <row r="160" spans="4:5" x14ac:dyDescent="0.2">
      <c r="D160" s="15"/>
      <c r="E160" s="16"/>
    </row>
    <row r="161" spans="4:5" x14ac:dyDescent="0.2">
      <c r="E161" s="16"/>
    </row>
    <row r="162" spans="4:5" x14ac:dyDescent="0.2">
      <c r="E162" s="16"/>
    </row>
    <row r="163" spans="4:5" x14ac:dyDescent="0.2">
      <c r="E163" s="16"/>
    </row>
    <row r="164" spans="4:5" x14ac:dyDescent="0.2">
      <c r="E164" s="16"/>
    </row>
    <row r="165" spans="4:5" x14ac:dyDescent="0.2">
      <c r="E165" s="16"/>
    </row>
    <row r="166" spans="4:5" x14ac:dyDescent="0.2">
      <c r="D166" s="15"/>
      <c r="E166" s="16"/>
    </row>
    <row r="167" spans="4:5" x14ac:dyDescent="0.2">
      <c r="E167" s="16"/>
    </row>
    <row r="168" spans="4:5" x14ac:dyDescent="0.2">
      <c r="E168" s="16"/>
    </row>
    <row r="169" spans="4:5" x14ac:dyDescent="0.2">
      <c r="E169" s="16"/>
    </row>
    <row r="170" spans="4:5" x14ac:dyDescent="0.2">
      <c r="E170" s="16"/>
    </row>
    <row r="171" spans="4:5" x14ac:dyDescent="0.2">
      <c r="E171" s="16"/>
    </row>
    <row r="172" spans="4:5" x14ac:dyDescent="0.2">
      <c r="D172" s="15"/>
      <c r="E172" s="16"/>
    </row>
    <row r="173" spans="4:5" x14ac:dyDescent="0.2">
      <c r="E173" s="16"/>
    </row>
    <row r="174" spans="4:5" x14ac:dyDescent="0.2">
      <c r="E174" s="16"/>
    </row>
    <row r="175" spans="4:5" x14ac:dyDescent="0.2">
      <c r="E175" s="16"/>
    </row>
    <row r="176" spans="4:5" x14ac:dyDescent="0.2">
      <c r="E176" s="16"/>
    </row>
    <row r="177" spans="4:5" x14ac:dyDescent="0.2">
      <c r="E177" s="16"/>
    </row>
    <row r="178" spans="4:5" x14ac:dyDescent="0.2">
      <c r="D178" s="15"/>
      <c r="E178" s="16"/>
    </row>
    <row r="179" spans="4:5" x14ac:dyDescent="0.2">
      <c r="E179" s="16"/>
    </row>
    <row r="180" spans="4:5" x14ac:dyDescent="0.2">
      <c r="E180" s="16"/>
    </row>
    <row r="181" spans="4:5" x14ac:dyDescent="0.2">
      <c r="E181" s="16"/>
    </row>
    <row r="182" spans="4:5" x14ac:dyDescent="0.2">
      <c r="E182" s="16"/>
    </row>
    <row r="183" spans="4:5" x14ac:dyDescent="0.2">
      <c r="E183" s="16"/>
    </row>
    <row r="184" spans="4:5" x14ac:dyDescent="0.2">
      <c r="D184" s="15"/>
      <c r="E184" s="16"/>
    </row>
    <row r="185" spans="4:5" x14ac:dyDescent="0.2">
      <c r="E185" s="16"/>
    </row>
    <row r="186" spans="4:5" x14ac:dyDescent="0.2">
      <c r="E186" s="16"/>
    </row>
    <row r="187" spans="4:5" x14ac:dyDescent="0.2">
      <c r="E187" s="16"/>
    </row>
    <row r="188" spans="4:5" x14ac:dyDescent="0.2">
      <c r="E188" s="16"/>
    </row>
    <row r="189" spans="4:5" x14ac:dyDescent="0.2">
      <c r="E189" s="16"/>
    </row>
    <row r="190" spans="4:5" x14ac:dyDescent="0.2">
      <c r="D190" s="15"/>
      <c r="E190" s="16"/>
    </row>
    <row r="191" spans="4:5" x14ac:dyDescent="0.2">
      <c r="E191" s="16"/>
    </row>
    <row r="192" spans="4:5" x14ac:dyDescent="0.2">
      <c r="E192" s="16"/>
    </row>
    <row r="193" spans="4:5" x14ac:dyDescent="0.2">
      <c r="E193" s="16"/>
    </row>
    <row r="194" spans="4:5" x14ac:dyDescent="0.2">
      <c r="D194" s="15"/>
      <c r="E194" s="16"/>
    </row>
    <row r="195" spans="4:5" x14ac:dyDescent="0.2">
      <c r="E195" s="16"/>
    </row>
    <row r="196" spans="4:5" x14ac:dyDescent="0.2">
      <c r="E196" s="16"/>
    </row>
    <row r="197" spans="4:5" x14ac:dyDescent="0.2">
      <c r="E197" s="16"/>
    </row>
    <row r="198" spans="4:5" x14ac:dyDescent="0.2">
      <c r="E198" s="16"/>
    </row>
    <row r="199" spans="4:5" x14ac:dyDescent="0.2">
      <c r="D199" s="15"/>
      <c r="E199" s="16"/>
    </row>
    <row r="200" spans="4:5" x14ac:dyDescent="0.2">
      <c r="E200" s="16"/>
    </row>
    <row r="201" spans="4:5" x14ac:dyDescent="0.2">
      <c r="E201" s="16"/>
    </row>
    <row r="202" spans="4:5" x14ac:dyDescent="0.2">
      <c r="D202" s="15"/>
      <c r="E202" s="16"/>
    </row>
    <row r="203" spans="4:5" x14ac:dyDescent="0.2">
      <c r="E203" s="16"/>
    </row>
    <row r="204" spans="4:5" x14ac:dyDescent="0.2">
      <c r="E204" s="16"/>
    </row>
    <row r="205" spans="4:5" x14ac:dyDescent="0.2">
      <c r="D205" s="15"/>
      <c r="E205" s="16"/>
    </row>
    <row r="206" spans="4:5" x14ac:dyDescent="0.2">
      <c r="E206" s="16"/>
    </row>
    <row r="207" spans="4:5" x14ac:dyDescent="0.2">
      <c r="E207" s="16"/>
    </row>
    <row r="208" spans="4:5" x14ac:dyDescent="0.2">
      <c r="D208" s="15"/>
      <c r="E208" s="16"/>
    </row>
    <row r="209" spans="4:5" x14ac:dyDescent="0.2">
      <c r="E209" s="16"/>
    </row>
    <row r="210" spans="4:5" x14ac:dyDescent="0.2">
      <c r="E210" s="16"/>
    </row>
    <row r="211" spans="4:5" x14ac:dyDescent="0.2">
      <c r="D211" s="15"/>
      <c r="E211" s="16"/>
    </row>
    <row r="212" spans="4:5" x14ac:dyDescent="0.2">
      <c r="E212" s="16"/>
    </row>
    <row r="213" spans="4:5" x14ac:dyDescent="0.2">
      <c r="E213" s="16"/>
    </row>
    <row r="214" spans="4:5" x14ac:dyDescent="0.2">
      <c r="D214" s="15"/>
      <c r="E214" s="16"/>
    </row>
    <row r="215" spans="4:5" x14ac:dyDescent="0.2">
      <c r="E215" s="16"/>
    </row>
    <row r="216" spans="4:5" x14ac:dyDescent="0.2">
      <c r="E216" s="16"/>
    </row>
    <row r="217" spans="4:5" x14ac:dyDescent="0.2">
      <c r="D217" s="15"/>
      <c r="E217" s="16"/>
    </row>
    <row r="218" spans="4:5" x14ac:dyDescent="0.2">
      <c r="E218" s="16"/>
    </row>
    <row r="219" spans="4:5" x14ac:dyDescent="0.2">
      <c r="E219" s="16"/>
    </row>
    <row r="220" spans="4:5" x14ac:dyDescent="0.2">
      <c r="D220" s="15"/>
      <c r="E220" s="16"/>
    </row>
    <row r="221" spans="4:5" x14ac:dyDescent="0.2">
      <c r="E221" s="16"/>
    </row>
    <row r="222" spans="4:5" x14ac:dyDescent="0.2">
      <c r="E222" s="16"/>
    </row>
    <row r="223" spans="4:5" x14ac:dyDescent="0.2">
      <c r="D223" s="15"/>
      <c r="E223" s="16"/>
    </row>
    <row r="224" spans="4:5" x14ac:dyDescent="0.2">
      <c r="E224" s="16"/>
    </row>
    <row r="225" spans="4:5" x14ac:dyDescent="0.2">
      <c r="E225" s="16"/>
    </row>
    <row r="226" spans="4:5" x14ac:dyDescent="0.2">
      <c r="D226" s="15"/>
      <c r="E226" s="16"/>
    </row>
    <row r="227" spans="4:5" x14ac:dyDescent="0.2">
      <c r="E227" s="16"/>
    </row>
    <row r="228" spans="4:5" x14ac:dyDescent="0.2">
      <c r="E228" s="16"/>
    </row>
    <row r="229" spans="4:5" x14ac:dyDescent="0.2">
      <c r="D229" s="15"/>
      <c r="E229" s="16"/>
    </row>
    <row r="230" spans="4:5" x14ac:dyDescent="0.2">
      <c r="E230" s="16"/>
    </row>
    <row r="231" spans="4:5" x14ac:dyDescent="0.2">
      <c r="E231" s="16"/>
    </row>
    <row r="232" spans="4:5" x14ac:dyDescent="0.2">
      <c r="D232" s="15"/>
      <c r="E232" s="16"/>
    </row>
    <row r="233" spans="4:5" x14ac:dyDescent="0.2">
      <c r="E233" s="16"/>
    </row>
    <row r="234" spans="4:5" x14ac:dyDescent="0.2">
      <c r="E234" s="16"/>
    </row>
    <row r="235" spans="4:5" x14ac:dyDescent="0.2">
      <c r="D235" s="15"/>
      <c r="E235" s="16"/>
    </row>
    <row r="236" spans="4:5" x14ac:dyDescent="0.2">
      <c r="E236" s="16"/>
    </row>
    <row r="237" spans="4:5" x14ac:dyDescent="0.2">
      <c r="E237" s="16"/>
    </row>
    <row r="238" spans="4:5" x14ac:dyDescent="0.2">
      <c r="D238" s="15"/>
      <c r="E238" s="16"/>
    </row>
    <row r="239" spans="4:5" x14ac:dyDescent="0.2">
      <c r="D239" s="15"/>
      <c r="E239" s="16"/>
    </row>
    <row r="240" spans="4:5" x14ac:dyDescent="0.2">
      <c r="E240" s="16"/>
    </row>
    <row r="241" spans="4:5" x14ac:dyDescent="0.2">
      <c r="D241" s="15"/>
      <c r="E241" s="16"/>
    </row>
    <row r="242" spans="4:5" x14ac:dyDescent="0.2">
      <c r="E242" s="16"/>
    </row>
    <row r="243" spans="4:5" x14ac:dyDescent="0.2">
      <c r="E243" s="16"/>
    </row>
    <row r="244" spans="4:5" x14ac:dyDescent="0.2">
      <c r="D244" s="15"/>
      <c r="E244" s="16"/>
    </row>
    <row r="245" spans="4:5" x14ac:dyDescent="0.2">
      <c r="E245" s="16"/>
    </row>
    <row r="246" spans="4:5" x14ac:dyDescent="0.2">
      <c r="E246" s="16"/>
    </row>
    <row r="247" spans="4:5" x14ac:dyDescent="0.2">
      <c r="E247" s="16"/>
    </row>
    <row r="248" spans="4:5" x14ac:dyDescent="0.2">
      <c r="E248" s="16"/>
    </row>
    <row r="249" spans="4:5" x14ac:dyDescent="0.2">
      <c r="E249" s="16"/>
    </row>
    <row r="250" spans="4:5" x14ac:dyDescent="0.2">
      <c r="E250" s="16"/>
    </row>
    <row r="251" spans="4:5" x14ac:dyDescent="0.2">
      <c r="E251" s="16"/>
    </row>
    <row r="252" spans="4:5" x14ac:dyDescent="0.2">
      <c r="D252" s="15"/>
      <c r="E252" s="16"/>
    </row>
    <row r="253" spans="4:5" x14ac:dyDescent="0.2">
      <c r="E253" s="16"/>
    </row>
    <row r="254" spans="4:5" x14ac:dyDescent="0.2">
      <c r="E254" s="16"/>
    </row>
    <row r="255" spans="4:5" x14ac:dyDescent="0.2">
      <c r="D255" s="15"/>
      <c r="E255" s="16"/>
    </row>
    <row r="256" spans="4:5" x14ac:dyDescent="0.2">
      <c r="E256" s="16"/>
    </row>
    <row r="257" spans="4:5" x14ac:dyDescent="0.2">
      <c r="E257" s="16"/>
    </row>
    <row r="258" spans="4:5" x14ac:dyDescent="0.2">
      <c r="D258" s="15"/>
      <c r="E258" s="16"/>
    </row>
    <row r="259" spans="4:5" x14ac:dyDescent="0.2">
      <c r="E259" s="16"/>
    </row>
    <row r="260" spans="4:5" x14ac:dyDescent="0.2">
      <c r="E260" s="16"/>
    </row>
    <row r="261" spans="4:5" x14ac:dyDescent="0.2">
      <c r="D261" s="15"/>
      <c r="E261" s="16"/>
    </row>
    <row r="262" spans="4:5" x14ac:dyDescent="0.2">
      <c r="E262" s="16"/>
    </row>
    <row r="263" spans="4:5" x14ac:dyDescent="0.2">
      <c r="E263" s="16"/>
    </row>
    <row r="264" spans="4:5" x14ac:dyDescent="0.2">
      <c r="D264" s="15"/>
      <c r="E264" s="16"/>
    </row>
    <row r="265" spans="4:5" x14ac:dyDescent="0.2">
      <c r="E265" s="16"/>
    </row>
    <row r="266" spans="4:5" x14ac:dyDescent="0.2">
      <c r="E266" s="16"/>
    </row>
    <row r="267" spans="4:5" x14ac:dyDescent="0.2">
      <c r="D267" s="15"/>
      <c r="E267" s="16"/>
    </row>
    <row r="268" spans="4:5" x14ac:dyDescent="0.2">
      <c r="E268" s="16"/>
    </row>
    <row r="269" spans="4:5" x14ac:dyDescent="0.2">
      <c r="E269" s="16"/>
    </row>
    <row r="270" spans="4:5" x14ac:dyDescent="0.2">
      <c r="D270" s="15"/>
      <c r="E270" s="16"/>
    </row>
    <row r="271" spans="4:5" x14ac:dyDescent="0.2">
      <c r="E271" s="16"/>
    </row>
    <row r="272" spans="4:5" x14ac:dyDescent="0.2">
      <c r="E272" s="16"/>
    </row>
    <row r="273" spans="4:5" x14ac:dyDescent="0.2">
      <c r="E273" s="16"/>
    </row>
    <row r="274" spans="4:5" x14ac:dyDescent="0.2">
      <c r="D274" s="15"/>
      <c r="E274" s="16"/>
    </row>
    <row r="275" spans="4:5" x14ac:dyDescent="0.2">
      <c r="E275" s="16"/>
    </row>
    <row r="276" spans="4:5" x14ac:dyDescent="0.2">
      <c r="E276" s="16"/>
    </row>
    <row r="277" spans="4:5" x14ac:dyDescent="0.2">
      <c r="E277" s="16"/>
    </row>
    <row r="278" spans="4:5" x14ac:dyDescent="0.2">
      <c r="D278" s="15"/>
      <c r="E278" s="16"/>
    </row>
    <row r="279" spans="4:5" x14ac:dyDescent="0.2">
      <c r="E279" s="16"/>
    </row>
    <row r="280" spans="4:5" x14ac:dyDescent="0.2">
      <c r="E280" s="16"/>
    </row>
    <row r="281" spans="4:5" x14ac:dyDescent="0.2">
      <c r="E281" s="16"/>
    </row>
    <row r="282" spans="4:5" x14ac:dyDescent="0.2">
      <c r="D282" s="15"/>
      <c r="E282" s="16"/>
    </row>
    <row r="283" spans="4:5" x14ac:dyDescent="0.2">
      <c r="E283" s="16"/>
    </row>
    <row r="284" spans="4:5" x14ac:dyDescent="0.2">
      <c r="E284" s="16"/>
    </row>
    <row r="285" spans="4:5" x14ac:dyDescent="0.2">
      <c r="E285" s="16"/>
    </row>
    <row r="286" spans="4:5" x14ac:dyDescent="0.2">
      <c r="D286" s="15"/>
      <c r="E286" s="16"/>
    </row>
    <row r="287" spans="4:5" x14ac:dyDescent="0.2">
      <c r="E287" s="16"/>
    </row>
    <row r="288" spans="4:5" x14ac:dyDescent="0.2">
      <c r="E288" s="16"/>
    </row>
    <row r="289" spans="4:5" x14ac:dyDescent="0.2">
      <c r="E289" s="16"/>
    </row>
    <row r="290" spans="4:5" x14ac:dyDescent="0.2">
      <c r="D290" s="15"/>
      <c r="E290" s="16"/>
    </row>
    <row r="291" spans="4:5" x14ac:dyDescent="0.2">
      <c r="E291" s="16"/>
    </row>
    <row r="292" spans="4:5" x14ac:dyDescent="0.2">
      <c r="E292" s="16"/>
    </row>
    <row r="293" spans="4:5" x14ac:dyDescent="0.2">
      <c r="E293" s="16"/>
    </row>
    <row r="294" spans="4:5" x14ac:dyDescent="0.2">
      <c r="D294" s="15"/>
      <c r="E294" s="16"/>
    </row>
    <row r="295" spans="4:5" x14ac:dyDescent="0.2">
      <c r="E295" s="16"/>
    </row>
    <row r="296" spans="4:5" x14ac:dyDescent="0.2">
      <c r="E296" s="16"/>
    </row>
    <row r="297" spans="4:5" x14ac:dyDescent="0.2">
      <c r="E297" s="16"/>
    </row>
    <row r="298" spans="4:5" x14ac:dyDescent="0.2">
      <c r="D298" s="15"/>
      <c r="E298" s="16"/>
    </row>
    <row r="299" spans="4:5" x14ac:dyDescent="0.2">
      <c r="E299" s="16"/>
    </row>
    <row r="300" spans="4:5" x14ac:dyDescent="0.2">
      <c r="E300" s="16"/>
    </row>
    <row r="301" spans="4:5" x14ac:dyDescent="0.2">
      <c r="E301" s="16"/>
    </row>
    <row r="302" spans="4:5" x14ac:dyDescent="0.2">
      <c r="D302" s="15"/>
      <c r="E302" s="16"/>
    </row>
    <row r="303" spans="4:5" x14ac:dyDescent="0.2">
      <c r="E303" s="16"/>
    </row>
    <row r="304" spans="4:5" x14ac:dyDescent="0.2">
      <c r="E304" s="16"/>
    </row>
    <row r="305" spans="4:5" x14ac:dyDescent="0.2">
      <c r="E305" s="16"/>
    </row>
    <row r="306" spans="4:5" x14ac:dyDescent="0.2">
      <c r="D306" s="15"/>
      <c r="E306" s="16"/>
    </row>
    <row r="307" spans="4:5" x14ac:dyDescent="0.2">
      <c r="D307" s="15"/>
      <c r="E307" s="1"/>
    </row>
    <row r="320" spans="4:5" x14ac:dyDescent="0.2">
      <c r="D320" s="1"/>
      <c r="E320" s="1"/>
    </row>
    <row r="321" s="1" customFormat="1" x14ac:dyDescent="0.2"/>
    <row r="322" s="1" customFormat="1" x14ac:dyDescent="0.2"/>
    <row r="323" s="1" customFormat="1" x14ac:dyDescent="0.2"/>
    <row r="324" s="1" customFormat="1" x14ac:dyDescent="0.2"/>
    <row r="325" s="1" customFormat="1" x14ac:dyDescent="0.2"/>
    <row r="326" s="1" customFormat="1" x14ac:dyDescent="0.2"/>
    <row r="327" s="1" customFormat="1" x14ac:dyDescent="0.2"/>
    <row r="328" s="1" customFormat="1" x14ac:dyDescent="0.2"/>
    <row r="329" s="1" customFormat="1" x14ac:dyDescent="0.2"/>
    <row r="330" s="1" customFormat="1" x14ac:dyDescent="0.2"/>
    <row r="331" s="1" customFormat="1" x14ac:dyDescent="0.2"/>
    <row r="332" s="1" customFormat="1" x14ac:dyDescent="0.2"/>
    <row r="333" s="1" customFormat="1" x14ac:dyDescent="0.2"/>
    <row r="334" s="1" customFormat="1" x14ac:dyDescent="0.2"/>
    <row r="335" s="1" customFormat="1" x14ac:dyDescent="0.2"/>
    <row r="336" s="1" customFormat="1" x14ac:dyDescent="0.2"/>
    <row r="337" s="1" customFormat="1" x14ac:dyDescent="0.2"/>
    <row r="338" s="1" customFormat="1" x14ac:dyDescent="0.2"/>
    <row r="339" s="1" customFormat="1" x14ac:dyDescent="0.2"/>
    <row r="340" s="1" customFormat="1" x14ac:dyDescent="0.2"/>
    <row r="341" s="1" customFormat="1" x14ac:dyDescent="0.2"/>
    <row r="342" s="1" customFormat="1" x14ac:dyDescent="0.2"/>
    <row r="343" s="1" customFormat="1" x14ac:dyDescent="0.2"/>
    <row r="344" s="1" customFormat="1" x14ac:dyDescent="0.2"/>
    <row r="345" s="1" customFormat="1" x14ac:dyDescent="0.2"/>
    <row r="346" s="1" customFormat="1" x14ac:dyDescent="0.2"/>
    <row r="347" s="1" customFormat="1" x14ac:dyDescent="0.2"/>
    <row r="348" s="1" customFormat="1" x14ac:dyDescent="0.2"/>
    <row r="349" s="1" customFormat="1" x14ac:dyDescent="0.2"/>
    <row r="350" s="1" customFormat="1" x14ac:dyDescent="0.2"/>
    <row r="351" s="1" customFormat="1" x14ac:dyDescent="0.2"/>
    <row r="352" s="1" customFormat="1" x14ac:dyDescent="0.2"/>
    <row r="353" s="1" customFormat="1" x14ac:dyDescent="0.2"/>
    <row r="354" s="1" customFormat="1" x14ac:dyDescent="0.2"/>
    <row r="355" s="1" customFormat="1" x14ac:dyDescent="0.2"/>
    <row r="356" s="1" customFormat="1" x14ac:dyDescent="0.2"/>
    <row r="357" s="1" customFormat="1" x14ac:dyDescent="0.2"/>
    <row r="358" s="1" customFormat="1" x14ac:dyDescent="0.2"/>
    <row r="359" s="1" customFormat="1" x14ac:dyDescent="0.2"/>
    <row r="360" s="1" customFormat="1" x14ac:dyDescent="0.2"/>
    <row r="361" s="1" customFormat="1" x14ac:dyDescent="0.2"/>
    <row r="362" s="1" customFormat="1" x14ac:dyDescent="0.2"/>
    <row r="363" s="1" customFormat="1" x14ac:dyDescent="0.2"/>
    <row r="364" s="1" customFormat="1" x14ac:dyDescent="0.2"/>
    <row r="365" s="1" customFormat="1" x14ac:dyDescent="0.2"/>
    <row r="366" s="1" customFormat="1" x14ac:dyDescent="0.2"/>
    <row r="367" s="1" customFormat="1" x14ac:dyDescent="0.2"/>
    <row r="368" s="1" customFormat="1" x14ac:dyDescent="0.2"/>
    <row r="369" s="1" customFormat="1" x14ac:dyDescent="0.2"/>
    <row r="370" s="1" customFormat="1" x14ac:dyDescent="0.2"/>
    <row r="371" s="1" customFormat="1" x14ac:dyDescent="0.2"/>
    <row r="372" s="1" customFormat="1" x14ac:dyDescent="0.2"/>
    <row r="373" s="1" customFormat="1" x14ac:dyDescent="0.2"/>
    <row r="374" s="1" customFormat="1" x14ac:dyDescent="0.2"/>
    <row r="375" s="1" customFormat="1" x14ac:dyDescent="0.2"/>
    <row r="376" s="1" customFormat="1" x14ac:dyDescent="0.2"/>
    <row r="377" s="1" customFormat="1" x14ac:dyDescent="0.2"/>
    <row r="378" s="1" customFormat="1" x14ac:dyDescent="0.2"/>
    <row r="379" s="1" customFormat="1" x14ac:dyDescent="0.2"/>
    <row r="380" s="1" customFormat="1" x14ac:dyDescent="0.2"/>
    <row r="381" s="1" customFormat="1" x14ac:dyDescent="0.2"/>
    <row r="382" s="1" customFormat="1" x14ac:dyDescent="0.2"/>
    <row r="383" s="1" customFormat="1" x14ac:dyDescent="0.2"/>
    <row r="384" s="1" customFormat="1" x14ac:dyDescent="0.2"/>
    <row r="385" s="1" customFormat="1" x14ac:dyDescent="0.2"/>
    <row r="386" s="1" customFormat="1" x14ac:dyDescent="0.2"/>
    <row r="387" s="1" customFormat="1" x14ac:dyDescent="0.2"/>
    <row r="388" s="1" customFormat="1" x14ac:dyDescent="0.2"/>
    <row r="389" s="1" customFormat="1" x14ac:dyDescent="0.2"/>
    <row r="390" s="1" customFormat="1" x14ac:dyDescent="0.2"/>
    <row r="391" s="1" customFormat="1" x14ac:dyDescent="0.2"/>
    <row r="392" s="1" customFormat="1" x14ac:dyDescent="0.2"/>
    <row r="393" s="1" customFormat="1" x14ac:dyDescent="0.2"/>
    <row r="394" s="1" customFormat="1" x14ac:dyDescent="0.2"/>
    <row r="395" s="1" customFormat="1" x14ac:dyDescent="0.2"/>
    <row r="396" s="1" customFormat="1" x14ac:dyDescent="0.2"/>
    <row r="397" s="1" customFormat="1" x14ac:dyDescent="0.2"/>
    <row r="398" s="1" customFormat="1" x14ac:dyDescent="0.2"/>
    <row r="399" s="1" customFormat="1" x14ac:dyDescent="0.2"/>
    <row r="408" spans="4:4" s="1" customFormat="1" x14ac:dyDescent="0.2">
      <c r="D408" s="15"/>
    </row>
    <row r="412" spans="4:4" s="1" customFormat="1" x14ac:dyDescent="0.2">
      <c r="D412" s="15"/>
    </row>
    <row r="413" spans="4:4" s="1" customFormat="1" x14ac:dyDescent="0.2">
      <c r="D413" s="15"/>
    </row>
    <row r="416" spans="4:4" s="1" customFormat="1" x14ac:dyDescent="0.2"/>
    <row r="417" s="1" customFormat="1" x14ac:dyDescent="0.2"/>
    <row r="418" s="1" customFormat="1" x14ac:dyDescent="0.2"/>
    <row r="419" s="1" customFormat="1" x14ac:dyDescent="0.2"/>
    <row r="420" s="1" customFormat="1" x14ac:dyDescent="0.2"/>
    <row r="421" s="1" customFormat="1" x14ac:dyDescent="0.2"/>
    <row r="422" s="1" customFormat="1" x14ac:dyDescent="0.2"/>
    <row r="423" s="1" customFormat="1" x14ac:dyDescent="0.2"/>
    <row r="424" s="1" customFormat="1" x14ac:dyDescent="0.2"/>
    <row r="425" s="1" customFormat="1" x14ac:dyDescent="0.2"/>
    <row r="426" s="1" customFormat="1" x14ac:dyDescent="0.2"/>
    <row r="427" s="1" customFormat="1" x14ac:dyDescent="0.2"/>
    <row r="428" s="1" customFormat="1" x14ac:dyDescent="0.2"/>
    <row r="429" s="1" customFormat="1" x14ac:dyDescent="0.2"/>
    <row r="430" s="1" customFormat="1" x14ac:dyDescent="0.2"/>
    <row r="431" s="1" customFormat="1" x14ac:dyDescent="0.2"/>
    <row r="432" s="1" customFormat="1" x14ac:dyDescent="0.2"/>
    <row r="433" s="1" customFormat="1" x14ac:dyDescent="0.2"/>
    <row r="434" s="1" customFormat="1" x14ac:dyDescent="0.2"/>
    <row r="435" s="1" customFormat="1" x14ac:dyDescent="0.2"/>
    <row r="436" s="1" customFormat="1" x14ac:dyDescent="0.2"/>
    <row r="437" s="1" customFormat="1" x14ac:dyDescent="0.2"/>
    <row r="438" s="1" customFormat="1" x14ac:dyDescent="0.2"/>
    <row r="439" s="1" customFormat="1" x14ac:dyDescent="0.2"/>
    <row r="440" s="1" customFormat="1" x14ac:dyDescent="0.2"/>
    <row r="441" s="1" customFormat="1" x14ac:dyDescent="0.2"/>
    <row r="442" s="1" customFormat="1" x14ac:dyDescent="0.2"/>
    <row r="443" s="1" customFormat="1" x14ac:dyDescent="0.2"/>
    <row r="444" s="1" customFormat="1" x14ac:dyDescent="0.2"/>
    <row r="445" s="1" customFormat="1" x14ac:dyDescent="0.2"/>
    <row r="446" s="1" customFormat="1" x14ac:dyDescent="0.2"/>
    <row r="447" s="1" customFormat="1" x14ac:dyDescent="0.2"/>
    <row r="448" s="1" customFormat="1" x14ac:dyDescent="0.2"/>
    <row r="449" s="1" customFormat="1" x14ac:dyDescent="0.2"/>
    <row r="450" s="1" customFormat="1" x14ac:dyDescent="0.2"/>
    <row r="451" s="1" customFormat="1" x14ac:dyDescent="0.2"/>
    <row r="452" s="1" customFormat="1" x14ac:dyDescent="0.2"/>
    <row r="453" s="1" customFormat="1" x14ac:dyDescent="0.2"/>
    <row r="454" s="1" customFormat="1" x14ac:dyDescent="0.2"/>
    <row r="455" s="1" customFormat="1" x14ac:dyDescent="0.2"/>
    <row r="456" s="1" customFormat="1" x14ac:dyDescent="0.2"/>
    <row r="457" s="1" customFormat="1" x14ac:dyDescent="0.2"/>
    <row r="458" s="1" customFormat="1" x14ac:dyDescent="0.2"/>
    <row r="459" s="1" customFormat="1" x14ac:dyDescent="0.2"/>
    <row r="460" s="1" customFormat="1" x14ac:dyDescent="0.2"/>
    <row r="461" s="1" customFormat="1" x14ac:dyDescent="0.2"/>
    <row r="462" s="1" customFormat="1" x14ac:dyDescent="0.2"/>
    <row r="463" s="1" customFormat="1" x14ac:dyDescent="0.2"/>
    <row r="464" s="1" customFormat="1" x14ac:dyDescent="0.2"/>
    <row r="465" s="1" customFormat="1" x14ac:dyDescent="0.2"/>
    <row r="466" s="1" customFormat="1" x14ac:dyDescent="0.2"/>
    <row r="467" s="1" customFormat="1" x14ac:dyDescent="0.2"/>
    <row r="468" s="1" customFormat="1" x14ac:dyDescent="0.2"/>
    <row r="469" s="1" customFormat="1" x14ac:dyDescent="0.2"/>
    <row r="470" s="1" customFormat="1" x14ac:dyDescent="0.2"/>
    <row r="471" s="1" customFormat="1" x14ac:dyDescent="0.2"/>
    <row r="472" s="1" customFormat="1" x14ac:dyDescent="0.2"/>
    <row r="473" s="1" customFormat="1" x14ac:dyDescent="0.2"/>
    <row r="474" s="1" customFormat="1" x14ac:dyDescent="0.2"/>
    <row r="475" s="1" customFormat="1" x14ac:dyDescent="0.2"/>
    <row r="476" s="1" customFormat="1" x14ac:dyDescent="0.2"/>
    <row r="477" s="1" customFormat="1" x14ac:dyDescent="0.2"/>
    <row r="478" s="1" customFormat="1" x14ac:dyDescent="0.2"/>
    <row r="479" s="1" customFormat="1" x14ac:dyDescent="0.2"/>
    <row r="480" s="1" customFormat="1" x14ac:dyDescent="0.2"/>
    <row r="481" s="1" customFormat="1" x14ac:dyDescent="0.2"/>
    <row r="482" s="1" customFormat="1" x14ac:dyDescent="0.2"/>
    <row r="483" s="1" customFormat="1" x14ac:dyDescent="0.2"/>
    <row r="484" s="1" customFormat="1" x14ac:dyDescent="0.2"/>
    <row r="485" s="1" customFormat="1" x14ac:dyDescent="0.2"/>
    <row r="486" s="1" customFormat="1" x14ac:dyDescent="0.2"/>
    <row r="487" s="1" customFormat="1" x14ac:dyDescent="0.2"/>
    <row r="488" s="1" customFormat="1" x14ac:dyDescent="0.2"/>
    <row r="489" s="1" customFormat="1" x14ac:dyDescent="0.2"/>
    <row r="490" s="1" customFormat="1" x14ac:dyDescent="0.2"/>
    <row r="491" s="1" customFormat="1" x14ac:dyDescent="0.2"/>
    <row r="492" s="1" customFormat="1" x14ac:dyDescent="0.2"/>
    <row r="493" s="1" customFormat="1" x14ac:dyDescent="0.2"/>
    <row r="494" s="1" customFormat="1" x14ac:dyDescent="0.2"/>
    <row r="495" s="1" customFormat="1" x14ac:dyDescent="0.2"/>
    <row r="496" s="1" customFormat="1" x14ac:dyDescent="0.2"/>
    <row r="497" s="1" customFormat="1" x14ac:dyDescent="0.2"/>
    <row r="498" s="1" customFormat="1" x14ac:dyDescent="0.2"/>
    <row r="499" s="1" customFormat="1" x14ac:dyDescent="0.2"/>
    <row r="500" s="1" customFormat="1" x14ac:dyDescent="0.2"/>
    <row r="501" s="1" customFormat="1" x14ac:dyDescent="0.2"/>
    <row r="502" s="1" customFormat="1" x14ac:dyDescent="0.2"/>
    <row r="503" s="1" customFormat="1" x14ac:dyDescent="0.2"/>
    <row r="504" s="1" customFormat="1" x14ac:dyDescent="0.2"/>
    <row r="505" s="1" customFormat="1" x14ac:dyDescent="0.2"/>
    <row r="506" s="1" customFormat="1" x14ac:dyDescent="0.2"/>
    <row r="507" s="1" customFormat="1" x14ac:dyDescent="0.2"/>
    <row r="508" s="1" customFormat="1" x14ac:dyDescent="0.2"/>
    <row r="509" s="1" customFormat="1" x14ac:dyDescent="0.2"/>
    <row r="510" s="1" customFormat="1" x14ac:dyDescent="0.2"/>
    <row r="511" s="1" customFormat="1" x14ac:dyDescent="0.2"/>
    <row r="512" s="1" customFormat="1" x14ac:dyDescent="0.2"/>
    <row r="513" s="1" customFormat="1" x14ac:dyDescent="0.2"/>
    <row r="514" s="1" customFormat="1" x14ac:dyDescent="0.2"/>
    <row r="515" s="1" customFormat="1" x14ac:dyDescent="0.2"/>
    <row r="516" s="1" customFormat="1" x14ac:dyDescent="0.2"/>
    <row r="517" s="1" customFormat="1" x14ac:dyDescent="0.2"/>
    <row r="518" s="1" customFormat="1" x14ac:dyDescent="0.2"/>
    <row r="519" s="1" customFormat="1" x14ac:dyDescent="0.2"/>
    <row r="520" s="1" customFormat="1" x14ac:dyDescent="0.2"/>
    <row r="521" s="1" customFormat="1" x14ac:dyDescent="0.2"/>
    <row r="522" s="1" customFormat="1" x14ac:dyDescent="0.2"/>
    <row r="523" s="1" customFormat="1" x14ac:dyDescent="0.2"/>
    <row r="524" s="1" customFormat="1" x14ac:dyDescent="0.2"/>
    <row r="525" s="1" customFormat="1" x14ac:dyDescent="0.2"/>
    <row r="526" s="1" customFormat="1" x14ac:dyDescent="0.2"/>
    <row r="527" s="1" customFormat="1" x14ac:dyDescent="0.2"/>
    <row r="528" s="1" customFormat="1" x14ac:dyDescent="0.2"/>
    <row r="529" s="1" customFormat="1" x14ac:dyDescent="0.2"/>
    <row r="530" s="1" customFormat="1" x14ac:dyDescent="0.2"/>
    <row r="531" s="1" customFormat="1" x14ac:dyDescent="0.2"/>
    <row r="532" s="1" customFormat="1" x14ac:dyDescent="0.2"/>
    <row r="533" s="1" customFormat="1" x14ac:dyDescent="0.2"/>
    <row r="534" s="1" customFormat="1" x14ac:dyDescent="0.2"/>
    <row r="535" s="1" customFormat="1" x14ac:dyDescent="0.2"/>
    <row r="536" s="1" customFormat="1" x14ac:dyDescent="0.2"/>
    <row r="537" s="1" customFormat="1" x14ac:dyDescent="0.2"/>
    <row r="538" s="1" customFormat="1" x14ac:dyDescent="0.2"/>
    <row r="539" s="1" customFormat="1" x14ac:dyDescent="0.2"/>
    <row r="540" s="1" customFormat="1" x14ac:dyDescent="0.2"/>
    <row r="541" s="1" customFormat="1" x14ac:dyDescent="0.2"/>
    <row r="542" s="1" customFormat="1" x14ac:dyDescent="0.2"/>
    <row r="543" s="1" customFormat="1" x14ac:dyDescent="0.2"/>
    <row r="553" spans="4:4" s="1" customFormat="1" x14ac:dyDescent="0.2">
      <c r="D553" s="15"/>
    </row>
    <row r="557" spans="4:4" s="1" customFormat="1" x14ac:dyDescent="0.2">
      <c r="D557" s="15"/>
    </row>
    <row r="558" spans="4:4" s="1" customFormat="1" x14ac:dyDescent="0.2">
      <c r="D558" s="15"/>
    </row>
    <row r="560" spans="4:4" s="1" customFormat="1" x14ac:dyDescent="0.2"/>
    <row r="561" s="1" customFormat="1" x14ac:dyDescent="0.2"/>
    <row r="562" s="1" customFormat="1" x14ac:dyDescent="0.2"/>
    <row r="563" s="1" customFormat="1" x14ac:dyDescent="0.2"/>
    <row r="564" s="1" customFormat="1" x14ac:dyDescent="0.2"/>
    <row r="565" s="1" customFormat="1" x14ac:dyDescent="0.2"/>
    <row r="566" s="1" customFormat="1" x14ac:dyDescent="0.2"/>
    <row r="567" s="1" customFormat="1" x14ac:dyDescent="0.2"/>
    <row r="568" s="1" customFormat="1" x14ac:dyDescent="0.2"/>
    <row r="569" s="1" customFormat="1" x14ac:dyDescent="0.2"/>
    <row r="570" s="1" customFormat="1" x14ac:dyDescent="0.2"/>
    <row r="571" s="1" customFormat="1" x14ac:dyDescent="0.2"/>
    <row r="572" s="1" customFormat="1" x14ac:dyDescent="0.2"/>
    <row r="573" s="1" customFormat="1" x14ac:dyDescent="0.2"/>
    <row r="574" s="1" customFormat="1" x14ac:dyDescent="0.2"/>
    <row r="575" s="1" customFormat="1" x14ac:dyDescent="0.2"/>
    <row r="576" s="1" customFormat="1" x14ac:dyDescent="0.2"/>
    <row r="577" s="1" customFormat="1" x14ac:dyDescent="0.2"/>
    <row r="578" s="1" customFormat="1" x14ac:dyDescent="0.2"/>
    <row r="579" s="1" customFormat="1" x14ac:dyDescent="0.2"/>
    <row r="580" s="1" customFormat="1" x14ac:dyDescent="0.2"/>
    <row r="581" s="1" customFormat="1" x14ac:dyDescent="0.2"/>
    <row r="582" s="1" customFormat="1" x14ac:dyDescent="0.2"/>
    <row r="583" s="1" customFormat="1" x14ac:dyDescent="0.2"/>
    <row r="584" s="1" customFormat="1" x14ac:dyDescent="0.2"/>
    <row r="585" s="1" customFormat="1" x14ac:dyDescent="0.2"/>
    <row r="586" s="1" customFormat="1" x14ac:dyDescent="0.2"/>
    <row r="587" s="1" customFormat="1" x14ac:dyDescent="0.2"/>
    <row r="588" s="1" customFormat="1" x14ac:dyDescent="0.2"/>
    <row r="589" s="1" customFormat="1" x14ac:dyDescent="0.2"/>
    <row r="590" s="1" customFormat="1" x14ac:dyDescent="0.2"/>
    <row r="591" s="1" customFormat="1" x14ac:dyDescent="0.2"/>
    <row r="592" s="1" customFormat="1" x14ac:dyDescent="0.2"/>
    <row r="593" s="1" customFormat="1" x14ac:dyDescent="0.2"/>
    <row r="594" s="1" customFormat="1" x14ac:dyDescent="0.2"/>
    <row r="595" s="1" customFormat="1" x14ac:dyDescent="0.2"/>
    <row r="596" s="1" customFormat="1" x14ac:dyDescent="0.2"/>
    <row r="597" s="1" customFormat="1" x14ac:dyDescent="0.2"/>
    <row r="598" s="1" customFormat="1" x14ac:dyDescent="0.2"/>
    <row r="599" s="1" customFormat="1" x14ac:dyDescent="0.2"/>
    <row r="600" s="1" customFormat="1" x14ac:dyDescent="0.2"/>
    <row r="601" s="1" customFormat="1" x14ac:dyDescent="0.2"/>
    <row r="602" s="1" customFormat="1" x14ac:dyDescent="0.2"/>
    <row r="603" s="1" customFormat="1" x14ac:dyDescent="0.2"/>
    <row r="604" s="1" customFormat="1" x14ac:dyDescent="0.2"/>
    <row r="605" s="1" customFormat="1" x14ac:dyDescent="0.2"/>
    <row r="606" s="1" customFormat="1" x14ac:dyDescent="0.2"/>
    <row r="607" s="1" customFormat="1" x14ac:dyDescent="0.2"/>
    <row r="608" s="1" customFormat="1" x14ac:dyDescent="0.2"/>
    <row r="609" s="1" customFormat="1" x14ac:dyDescent="0.2"/>
    <row r="610" s="1" customFormat="1" x14ac:dyDescent="0.2"/>
    <row r="611" s="1" customFormat="1" x14ac:dyDescent="0.2"/>
    <row r="612" s="1" customFormat="1" x14ac:dyDescent="0.2"/>
    <row r="613" s="1" customFormat="1" x14ac:dyDescent="0.2"/>
    <row r="614" s="1" customFormat="1" x14ac:dyDescent="0.2"/>
    <row r="615" s="1" customFormat="1" x14ac:dyDescent="0.2"/>
    <row r="616" s="1" customFormat="1" x14ac:dyDescent="0.2"/>
    <row r="617" s="1" customFormat="1" x14ac:dyDescent="0.2"/>
    <row r="618" s="1" customFormat="1" x14ac:dyDescent="0.2"/>
    <row r="619" s="1" customFormat="1" x14ac:dyDescent="0.2"/>
    <row r="620" s="1" customFormat="1" x14ac:dyDescent="0.2"/>
    <row r="621" s="1" customFormat="1" x14ac:dyDescent="0.2"/>
    <row r="622" s="1" customFormat="1" x14ac:dyDescent="0.2"/>
    <row r="623" s="1" customFormat="1" x14ac:dyDescent="0.2"/>
    <row r="624" s="1" customFormat="1" x14ac:dyDescent="0.2"/>
    <row r="625" s="1" customFormat="1" x14ac:dyDescent="0.2"/>
    <row r="626" s="1" customFormat="1" x14ac:dyDescent="0.2"/>
    <row r="627" s="1" customFormat="1" x14ac:dyDescent="0.2"/>
    <row r="628" s="1" customFormat="1" x14ac:dyDescent="0.2"/>
    <row r="629" s="1" customFormat="1" x14ac:dyDescent="0.2"/>
    <row r="630" s="1" customFormat="1" x14ac:dyDescent="0.2"/>
    <row r="631" s="1" customFormat="1" x14ac:dyDescent="0.2"/>
    <row r="632" s="1" customFormat="1" x14ac:dyDescent="0.2"/>
    <row r="633" s="1" customFormat="1" x14ac:dyDescent="0.2"/>
    <row r="634" s="1" customFormat="1" x14ac:dyDescent="0.2"/>
    <row r="635" s="1" customFormat="1" x14ac:dyDescent="0.2"/>
    <row r="636" s="1" customFormat="1" x14ac:dyDescent="0.2"/>
    <row r="637" s="1" customFormat="1" x14ac:dyDescent="0.2"/>
    <row r="638" s="1" customFormat="1" x14ac:dyDescent="0.2"/>
    <row r="639" s="1" customFormat="1" x14ac:dyDescent="0.2"/>
    <row r="640" s="1" customFormat="1" x14ac:dyDescent="0.2"/>
    <row r="641" s="1" customFormat="1" x14ac:dyDescent="0.2"/>
    <row r="642" s="1" customFormat="1" x14ac:dyDescent="0.2"/>
    <row r="643" s="1" customFormat="1" x14ac:dyDescent="0.2"/>
    <row r="644" s="1" customFormat="1" x14ac:dyDescent="0.2"/>
    <row r="645" s="1" customFormat="1" x14ac:dyDescent="0.2"/>
    <row r="646" s="1" customFormat="1" x14ac:dyDescent="0.2"/>
    <row r="647" s="1" customFormat="1" x14ac:dyDescent="0.2"/>
    <row r="648" s="1" customFormat="1" x14ac:dyDescent="0.2"/>
    <row r="649" s="1" customFormat="1" x14ac:dyDescent="0.2"/>
    <row r="650" s="1" customFormat="1" x14ac:dyDescent="0.2"/>
    <row r="651" s="1" customFormat="1" x14ac:dyDescent="0.2"/>
    <row r="652" s="1" customFormat="1" x14ac:dyDescent="0.2"/>
    <row r="653" s="1" customFormat="1" x14ac:dyDescent="0.2"/>
    <row r="654" s="1" customFormat="1" x14ac:dyDescent="0.2"/>
    <row r="655" s="1" customFormat="1" x14ac:dyDescent="0.2"/>
    <row r="656" s="1" customFormat="1" x14ac:dyDescent="0.2"/>
    <row r="657" s="1" customFormat="1" x14ac:dyDescent="0.2"/>
    <row r="658" s="1" customFormat="1" x14ac:dyDescent="0.2"/>
    <row r="659" s="1" customFormat="1" x14ac:dyDescent="0.2"/>
    <row r="660" s="1" customFormat="1" x14ac:dyDescent="0.2"/>
    <row r="661" s="1" customFormat="1" x14ac:dyDescent="0.2"/>
    <row r="662" s="1" customFormat="1" x14ac:dyDescent="0.2"/>
    <row r="663" s="1" customFormat="1" x14ac:dyDescent="0.2"/>
    <row r="664" s="1" customFormat="1" x14ac:dyDescent="0.2"/>
    <row r="665" s="1" customFormat="1" x14ac:dyDescent="0.2"/>
    <row r="666" s="1" customFormat="1" x14ac:dyDescent="0.2"/>
    <row r="667" s="1" customFormat="1" x14ac:dyDescent="0.2"/>
    <row r="668" s="1" customFormat="1" x14ac:dyDescent="0.2"/>
    <row r="669" s="1" customFormat="1" x14ac:dyDescent="0.2"/>
    <row r="670" s="1" customFormat="1" x14ac:dyDescent="0.2"/>
    <row r="671" s="1" customFormat="1" x14ac:dyDescent="0.2"/>
    <row r="672" s="1" customFormat="1" x14ac:dyDescent="0.2"/>
    <row r="673" s="1" customFormat="1" x14ac:dyDescent="0.2"/>
    <row r="674" s="1" customFormat="1" x14ac:dyDescent="0.2"/>
    <row r="675" s="1" customFormat="1" x14ac:dyDescent="0.2"/>
    <row r="676" s="1" customFormat="1" x14ac:dyDescent="0.2"/>
    <row r="677" s="1" customFormat="1" x14ac:dyDescent="0.2"/>
    <row r="678" s="1" customFormat="1" x14ac:dyDescent="0.2"/>
    <row r="679" s="1" customFormat="1" x14ac:dyDescent="0.2"/>
    <row r="680" s="1" customFormat="1" x14ac:dyDescent="0.2"/>
    <row r="681" s="1" customFormat="1" x14ac:dyDescent="0.2"/>
    <row r="682" s="1" customFormat="1" x14ac:dyDescent="0.2"/>
    <row r="683" s="1" customFormat="1" x14ac:dyDescent="0.2"/>
    <row r="684" s="1" customFormat="1" x14ac:dyDescent="0.2"/>
    <row r="685" s="1" customFormat="1" x14ac:dyDescent="0.2"/>
    <row r="686" s="1" customFormat="1" x14ac:dyDescent="0.2"/>
    <row r="687" s="1" customFormat="1" x14ac:dyDescent="0.2"/>
    <row r="694" spans="4:4" s="1" customFormat="1" x14ac:dyDescent="0.2">
      <c r="D694" s="15"/>
    </row>
    <row r="695" spans="4:4" s="1" customFormat="1" x14ac:dyDescent="0.2">
      <c r="D695" s="15"/>
    </row>
    <row r="698" spans="4:4" s="1" customFormat="1" x14ac:dyDescent="0.2">
      <c r="D698" s="15"/>
    </row>
    <row r="699" spans="4:4" s="1" customFormat="1" x14ac:dyDescent="0.2">
      <c r="D699" s="15"/>
    </row>
    <row r="704" spans="4:4" s="1" customFormat="1" x14ac:dyDescent="0.2"/>
    <row r="705" s="1" customFormat="1" x14ac:dyDescent="0.2"/>
    <row r="706" s="1" customFormat="1" x14ac:dyDescent="0.2"/>
    <row r="707" s="1" customFormat="1" x14ac:dyDescent="0.2"/>
    <row r="708" s="1" customFormat="1" x14ac:dyDescent="0.2"/>
    <row r="709" s="1" customFormat="1" x14ac:dyDescent="0.2"/>
    <row r="710" s="1" customFormat="1" x14ac:dyDescent="0.2"/>
    <row r="711" s="1" customFormat="1" x14ac:dyDescent="0.2"/>
    <row r="712" s="1" customFormat="1" x14ac:dyDescent="0.2"/>
    <row r="713" s="1" customFormat="1" x14ac:dyDescent="0.2"/>
    <row r="714" s="1" customFormat="1" x14ac:dyDescent="0.2"/>
    <row r="715" s="1" customFormat="1" x14ac:dyDescent="0.2"/>
    <row r="716" s="1" customFormat="1" x14ac:dyDescent="0.2"/>
    <row r="717" s="1" customFormat="1" x14ac:dyDescent="0.2"/>
    <row r="718" s="1" customFormat="1" x14ac:dyDescent="0.2"/>
    <row r="719" s="1" customFormat="1" x14ac:dyDescent="0.2"/>
    <row r="720" s="1" customFormat="1" x14ac:dyDescent="0.2"/>
    <row r="721" s="1" customFormat="1" x14ac:dyDescent="0.2"/>
    <row r="722" s="1" customFormat="1" x14ac:dyDescent="0.2"/>
    <row r="723" s="1" customFormat="1" x14ac:dyDescent="0.2"/>
    <row r="724" s="1" customFormat="1" x14ac:dyDescent="0.2"/>
    <row r="725" s="1" customFormat="1" x14ac:dyDescent="0.2"/>
    <row r="726" s="1" customFormat="1" x14ac:dyDescent="0.2"/>
    <row r="727" s="1" customFormat="1" x14ac:dyDescent="0.2"/>
    <row r="728" s="1" customFormat="1" x14ac:dyDescent="0.2"/>
    <row r="729" s="1" customFormat="1" x14ac:dyDescent="0.2"/>
    <row r="730" s="1" customFormat="1" x14ac:dyDescent="0.2"/>
    <row r="731" s="1" customFormat="1" x14ac:dyDescent="0.2"/>
    <row r="732" s="1" customFormat="1" x14ac:dyDescent="0.2"/>
    <row r="733" s="1" customFormat="1" x14ac:dyDescent="0.2"/>
    <row r="734" s="1" customFormat="1" x14ac:dyDescent="0.2"/>
    <row r="735" s="1" customFormat="1" x14ac:dyDescent="0.2"/>
    <row r="736" s="1" customFormat="1" x14ac:dyDescent="0.2"/>
    <row r="737" s="1" customFormat="1" x14ac:dyDescent="0.2"/>
    <row r="738" s="1" customFormat="1" x14ac:dyDescent="0.2"/>
    <row r="739" s="1" customFormat="1" x14ac:dyDescent="0.2"/>
    <row r="740" s="1" customFormat="1" x14ac:dyDescent="0.2"/>
    <row r="741" s="1" customFormat="1" x14ac:dyDescent="0.2"/>
    <row r="742" s="1" customFormat="1" x14ac:dyDescent="0.2"/>
    <row r="743" s="1" customFormat="1" x14ac:dyDescent="0.2"/>
    <row r="744" s="1" customFormat="1" x14ac:dyDescent="0.2"/>
    <row r="745" s="1" customFormat="1" x14ac:dyDescent="0.2"/>
    <row r="746" s="1" customFormat="1" x14ac:dyDescent="0.2"/>
    <row r="747" s="1" customFormat="1" x14ac:dyDescent="0.2"/>
    <row r="748" s="1" customFormat="1" x14ac:dyDescent="0.2"/>
    <row r="749" s="1" customFormat="1" x14ac:dyDescent="0.2"/>
    <row r="750" s="1" customFormat="1" x14ac:dyDescent="0.2"/>
    <row r="751" s="1" customFormat="1" x14ac:dyDescent="0.2"/>
    <row r="752" s="1" customFormat="1" x14ac:dyDescent="0.2"/>
    <row r="753" s="1" customFormat="1" x14ac:dyDescent="0.2"/>
    <row r="754" s="1" customFormat="1" x14ac:dyDescent="0.2"/>
    <row r="755" s="1" customFormat="1" x14ac:dyDescent="0.2"/>
    <row r="756" s="1" customFormat="1" x14ac:dyDescent="0.2"/>
    <row r="757" s="1" customFormat="1" x14ac:dyDescent="0.2"/>
    <row r="758" s="1" customFormat="1" x14ac:dyDescent="0.2"/>
    <row r="759" s="1" customFormat="1" x14ac:dyDescent="0.2"/>
    <row r="760" s="1" customFormat="1" x14ac:dyDescent="0.2"/>
    <row r="761" s="1" customFormat="1" x14ac:dyDescent="0.2"/>
    <row r="762" s="1" customFormat="1" x14ac:dyDescent="0.2"/>
    <row r="763" s="1" customFormat="1" x14ac:dyDescent="0.2"/>
    <row r="764" s="1" customFormat="1" x14ac:dyDescent="0.2"/>
    <row r="765" s="1" customFormat="1" x14ac:dyDescent="0.2"/>
    <row r="766" s="1" customFormat="1" x14ac:dyDescent="0.2"/>
    <row r="767" s="1" customFormat="1" x14ac:dyDescent="0.2"/>
    <row r="768" s="1" customFormat="1" x14ac:dyDescent="0.2"/>
    <row r="769" s="1" customFormat="1" x14ac:dyDescent="0.2"/>
    <row r="770" s="1" customFormat="1" x14ac:dyDescent="0.2"/>
    <row r="771" s="1" customFormat="1" x14ac:dyDescent="0.2"/>
    <row r="772" s="1" customFormat="1" x14ac:dyDescent="0.2"/>
    <row r="773" s="1" customFormat="1" x14ac:dyDescent="0.2"/>
    <row r="774" s="1" customFormat="1" x14ac:dyDescent="0.2"/>
    <row r="775" s="1" customFormat="1" x14ac:dyDescent="0.2"/>
    <row r="776" s="1" customFormat="1" x14ac:dyDescent="0.2"/>
    <row r="777" s="1" customFormat="1" x14ac:dyDescent="0.2"/>
    <row r="778" s="1" customFormat="1" x14ac:dyDescent="0.2"/>
    <row r="779" s="1" customFormat="1" x14ac:dyDescent="0.2"/>
    <row r="780" s="1" customFormat="1" x14ac:dyDescent="0.2"/>
    <row r="781" s="1" customFormat="1" x14ac:dyDescent="0.2"/>
    <row r="782" s="1" customFormat="1" x14ac:dyDescent="0.2"/>
    <row r="783" s="1" customFormat="1" x14ac:dyDescent="0.2"/>
    <row r="784" s="1" customFormat="1" x14ac:dyDescent="0.2"/>
    <row r="785" s="1" customFormat="1" x14ac:dyDescent="0.2"/>
    <row r="786" s="1" customFormat="1" x14ac:dyDescent="0.2"/>
    <row r="787" s="1" customFormat="1" x14ac:dyDescent="0.2"/>
    <row r="788" s="1" customFormat="1" x14ac:dyDescent="0.2"/>
    <row r="789" s="1" customFormat="1" x14ac:dyDescent="0.2"/>
    <row r="790" s="1" customFormat="1" x14ac:dyDescent="0.2"/>
    <row r="791" s="1" customFormat="1" x14ac:dyDescent="0.2"/>
    <row r="792" s="1" customFormat="1" x14ac:dyDescent="0.2"/>
    <row r="793" s="1" customFormat="1" x14ac:dyDescent="0.2"/>
    <row r="794" s="1" customFormat="1" x14ac:dyDescent="0.2"/>
    <row r="795" s="1" customFormat="1" x14ac:dyDescent="0.2"/>
    <row r="796" s="1" customFormat="1" x14ac:dyDescent="0.2"/>
    <row r="797" s="1" customFormat="1" x14ac:dyDescent="0.2"/>
    <row r="798" s="1" customFormat="1" x14ac:dyDescent="0.2"/>
    <row r="799" s="1" customFormat="1" x14ac:dyDescent="0.2"/>
    <row r="800" s="1" customFormat="1" x14ac:dyDescent="0.2"/>
    <row r="801" s="1" customFormat="1" x14ac:dyDescent="0.2"/>
    <row r="802" s="1" customFormat="1" x14ac:dyDescent="0.2"/>
    <row r="803" s="1" customFormat="1" x14ac:dyDescent="0.2"/>
    <row r="804" s="1" customFormat="1" x14ac:dyDescent="0.2"/>
    <row r="805" s="1" customFormat="1" x14ac:dyDescent="0.2"/>
    <row r="806" s="1" customFormat="1" x14ac:dyDescent="0.2"/>
    <row r="807" s="1" customFormat="1" x14ac:dyDescent="0.2"/>
    <row r="808" s="1" customFormat="1" x14ac:dyDescent="0.2"/>
    <row r="809" s="1" customFormat="1" x14ac:dyDescent="0.2"/>
    <row r="810" s="1" customFormat="1" x14ac:dyDescent="0.2"/>
    <row r="811" s="1" customFormat="1" x14ac:dyDescent="0.2"/>
    <row r="812" s="1" customFormat="1" x14ac:dyDescent="0.2"/>
    <row r="813" s="1" customFormat="1" x14ac:dyDescent="0.2"/>
    <row r="814" s="1" customFormat="1" x14ac:dyDescent="0.2"/>
    <row r="815" s="1" customFormat="1" x14ac:dyDescent="0.2"/>
    <row r="816" s="1" customFormat="1" x14ac:dyDescent="0.2"/>
    <row r="817" s="1" customFormat="1" x14ac:dyDescent="0.2"/>
    <row r="818" s="1" customFormat="1" x14ac:dyDescent="0.2"/>
    <row r="819" s="1" customFormat="1" x14ac:dyDescent="0.2"/>
    <row r="820" s="1" customFormat="1" x14ac:dyDescent="0.2"/>
    <row r="821" s="1" customFormat="1" x14ac:dyDescent="0.2"/>
    <row r="822" s="1" customFormat="1" x14ac:dyDescent="0.2"/>
    <row r="823" s="1" customFormat="1" x14ac:dyDescent="0.2"/>
    <row r="824" s="1" customFormat="1" x14ac:dyDescent="0.2"/>
    <row r="825" s="1" customFormat="1" x14ac:dyDescent="0.2"/>
    <row r="826" s="1" customFormat="1" x14ac:dyDescent="0.2"/>
    <row r="827" s="1" customFormat="1" x14ac:dyDescent="0.2"/>
    <row r="828" s="1" customFormat="1" x14ac:dyDescent="0.2"/>
    <row r="829" s="1" customFormat="1" x14ac:dyDescent="0.2"/>
    <row r="830" s="1" customFormat="1" x14ac:dyDescent="0.2"/>
    <row r="831" s="1" customFormat="1" x14ac:dyDescent="0.2"/>
    <row r="832" s="1" customFormat="1" x14ac:dyDescent="0.2"/>
    <row r="833" s="1" customFormat="1" x14ac:dyDescent="0.2"/>
    <row r="834" s="1" customFormat="1" x14ac:dyDescent="0.2"/>
    <row r="835" s="1" customFormat="1" x14ac:dyDescent="0.2"/>
    <row r="836" s="1" customFormat="1" x14ac:dyDescent="0.2"/>
    <row r="837" s="1" customFormat="1" x14ac:dyDescent="0.2"/>
    <row r="838" s="1" customFormat="1" x14ac:dyDescent="0.2"/>
    <row r="839" s="1" customFormat="1" x14ac:dyDescent="0.2"/>
    <row r="840" s="1" customFormat="1" x14ac:dyDescent="0.2"/>
    <row r="841" s="1" customFormat="1" x14ac:dyDescent="0.2"/>
    <row r="842" s="1" customFormat="1" x14ac:dyDescent="0.2"/>
    <row r="843" s="1" customFormat="1" x14ac:dyDescent="0.2"/>
    <row r="844" s="1" customFormat="1" x14ac:dyDescent="0.2"/>
    <row r="845" s="1" customFormat="1" x14ac:dyDescent="0.2"/>
    <row r="846" s="1" customFormat="1" x14ac:dyDescent="0.2"/>
    <row r="847" s="1" customFormat="1" x14ac:dyDescent="0.2"/>
    <row r="848" s="1" customFormat="1" x14ac:dyDescent="0.2"/>
    <row r="849" s="1" customFormat="1" x14ac:dyDescent="0.2"/>
    <row r="850" s="1" customFormat="1" x14ac:dyDescent="0.2"/>
    <row r="851" s="1" customFormat="1" x14ac:dyDescent="0.2"/>
    <row r="852" s="1" customFormat="1" x14ac:dyDescent="0.2"/>
    <row r="853" s="1" customFormat="1" x14ac:dyDescent="0.2"/>
    <row r="854" s="1" customFormat="1" x14ac:dyDescent="0.2"/>
    <row r="855" s="1" customFormat="1" x14ac:dyDescent="0.2"/>
    <row r="856" s="1" customFormat="1" x14ac:dyDescent="0.2"/>
    <row r="857" s="1" customFormat="1" x14ac:dyDescent="0.2"/>
    <row r="858" s="1" customFormat="1" x14ac:dyDescent="0.2"/>
    <row r="859" s="1" customFormat="1" x14ac:dyDescent="0.2"/>
    <row r="860" s="1" customFormat="1" x14ac:dyDescent="0.2"/>
    <row r="861" s="1" customFormat="1" x14ac:dyDescent="0.2"/>
    <row r="862" s="1" customFormat="1" x14ac:dyDescent="0.2"/>
    <row r="863" s="1" customFormat="1" x14ac:dyDescent="0.2"/>
    <row r="869" spans="4:4" s="1" customFormat="1" x14ac:dyDescent="0.2">
      <c r="D869" s="15"/>
    </row>
    <row r="870" spans="4:4" s="1" customFormat="1" x14ac:dyDescent="0.2">
      <c r="D870" s="15"/>
    </row>
    <row r="873" spans="4:4" s="1" customFormat="1" x14ac:dyDescent="0.2">
      <c r="D873" s="15"/>
    </row>
    <row r="874" spans="4:4" s="1" customFormat="1" x14ac:dyDescent="0.2">
      <c r="D874" s="15"/>
    </row>
    <row r="876" spans="4:4" s="1" customFormat="1" x14ac:dyDescent="0.2">
      <c r="D876" s="15"/>
    </row>
    <row r="877" spans="4:4" s="1" customFormat="1" x14ac:dyDescent="0.2">
      <c r="D877" s="15"/>
    </row>
    <row r="880" spans="4:4" s="1" customFormat="1" x14ac:dyDescent="0.2">
      <c r="D880" s="15"/>
    </row>
    <row r="881" spans="4:4" s="1" customFormat="1" x14ac:dyDescent="0.2">
      <c r="D881" s="15"/>
    </row>
    <row r="884" spans="4:4" s="1" customFormat="1" x14ac:dyDescent="0.2">
      <c r="D884" s="15"/>
    </row>
    <row r="885" spans="4:4" s="1" customFormat="1" x14ac:dyDescent="0.2">
      <c r="D885" s="15"/>
    </row>
    <row r="887" spans="4:4" s="1" customFormat="1" x14ac:dyDescent="0.2">
      <c r="D887" s="15"/>
    </row>
    <row r="888" spans="4:4" s="1" customFormat="1" x14ac:dyDescent="0.2">
      <c r="D888" s="15"/>
    </row>
    <row r="890" spans="4:4" s="1" customFormat="1" x14ac:dyDescent="0.2">
      <c r="D890" s="15"/>
    </row>
    <row r="891" spans="4:4" s="1" customFormat="1" x14ac:dyDescent="0.2">
      <c r="D891" s="15"/>
    </row>
    <row r="893" spans="4:4" s="1" customFormat="1" x14ac:dyDescent="0.2">
      <c r="D893" s="15"/>
    </row>
    <row r="894" spans="4:4" s="1" customFormat="1" x14ac:dyDescent="0.2">
      <c r="D894" s="15"/>
    </row>
    <row r="896" spans="4:4" s="1" customFormat="1" x14ac:dyDescent="0.2">
      <c r="D896" s="15"/>
    </row>
    <row r="897" spans="4:4" s="1" customFormat="1" x14ac:dyDescent="0.2">
      <c r="D897" s="15"/>
    </row>
    <row r="899" spans="4:4" s="1" customFormat="1" x14ac:dyDescent="0.2">
      <c r="D899" s="15"/>
    </row>
    <row r="900" spans="4:4" s="1" customFormat="1" x14ac:dyDescent="0.2">
      <c r="D900" s="15"/>
    </row>
    <row r="903" spans="4:4" s="1" customFormat="1" x14ac:dyDescent="0.2">
      <c r="D903" s="15"/>
    </row>
    <row r="904" spans="4:4" s="1" customFormat="1" x14ac:dyDescent="0.2">
      <c r="D904" s="15"/>
    </row>
    <row r="906" spans="4:4" s="1" customFormat="1" x14ac:dyDescent="0.2">
      <c r="D906" s="15"/>
    </row>
    <row r="907" spans="4:4" s="1" customFormat="1" x14ac:dyDescent="0.2">
      <c r="D907" s="15"/>
    </row>
    <row r="909" spans="4:4" s="1" customFormat="1" x14ac:dyDescent="0.2">
      <c r="D909" s="15"/>
    </row>
    <row r="910" spans="4:4" s="1" customFormat="1" x14ac:dyDescent="0.2">
      <c r="D910" s="15"/>
    </row>
    <row r="911" spans="4:4" s="1" customFormat="1" x14ac:dyDescent="0.2">
      <c r="D911" s="17"/>
    </row>
    <row r="912" spans="4:4" s="1" customFormat="1" x14ac:dyDescent="0.2">
      <c r="D912" s="15"/>
    </row>
    <row r="913" spans="4:4" s="1" customFormat="1" x14ac:dyDescent="0.2">
      <c r="D913" s="15"/>
    </row>
    <row r="917" spans="4:4" s="1" customFormat="1" x14ac:dyDescent="0.2">
      <c r="D917" s="17"/>
    </row>
    <row r="918" spans="4:4" s="1" customFormat="1" x14ac:dyDescent="0.2">
      <c r="D918" s="15"/>
    </row>
    <row r="942" spans="4:4" s="1" customFormat="1" x14ac:dyDescent="0.2">
      <c r="D942" s="17"/>
    </row>
    <row r="943" spans="4:4" s="1" customFormat="1" x14ac:dyDescent="0.2">
      <c r="D943" s="15"/>
    </row>
    <row r="947" spans="4:4" s="1" customFormat="1" x14ac:dyDescent="0.2">
      <c r="D947" s="17"/>
    </row>
    <row r="948" spans="4:4" s="1" customFormat="1" x14ac:dyDescent="0.2">
      <c r="D948" s="15"/>
    </row>
    <row r="949" spans="4:4" s="1" customFormat="1" x14ac:dyDescent="0.2">
      <c r="D949" s="15"/>
    </row>
    <row r="950" spans="4:4" s="1" customFormat="1" x14ac:dyDescent="0.2">
      <c r="D950" s="15"/>
    </row>
    <row r="951" spans="4:4" s="1" customFormat="1" x14ac:dyDescent="0.2">
      <c r="D951" s="15"/>
    </row>
    <row r="952" spans="4:4" s="1" customFormat="1" x14ac:dyDescent="0.2">
      <c r="D952" s="15"/>
    </row>
    <row r="953" spans="4:4" s="1" customFormat="1" x14ac:dyDescent="0.2">
      <c r="D953" s="15"/>
    </row>
    <row r="954" spans="4:4" s="1" customFormat="1" x14ac:dyDescent="0.2">
      <c r="D954" s="15"/>
    </row>
    <row r="955" spans="4:4" s="1" customFormat="1" x14ac:dyDescent="0.2">
      <c r="D955" s="15"/>
    </row>
    <row r="956" spans="4:4" s="1" customFormat="1" x14ac:dyDescent="0.2">
      <c r="D956" s="15"/>
    </row>
    <row r="957" spans="4:4" s="1" customFormat="1" x14ac:dyDescent="0.2">
      <c r="D957" s="15"/>
    </row>
    <row r="958" spans="4:4" s="1" customFormat="1" x14ac:dyDescent="0.2">
      <c r="D958" s="15"/>
    </row>
    <row r="959" spans="4:4" s="1" customFormat="1" x14ac:dyDescent="0.2">
      <c r="D959" s="15"/>
    </row>
    <row r="960" spans="4:4" s="1" customFormat="1" x14ac:dyDescent="0.2">
      <c r="D960" s="15"/>
    </row>
    <row r="961" spans="4:4" s="1" customFormat="1" x14ac:dyDescent="0.2">
      <c r="D961" s="15"/>
    </row>
    <row r="962" spans="4:4" s="1" customFormat="1" x14ac:dyDescent="0.2">
      <c r="D962" s="15"/>
    </row>
    <row r="963" spans="4:4" s="1" customFormat="1" x14ac:dyDescent="0.2">
      <c r="D963" s="15"/>
    </row>
    <row r="964" spans="4:4" s="1" customFormat="1" x14ac:dyDescent="0.2">
      <c r="D964" s="15"/>
    </row>
    <row r="976" spans="4:4" s="1" customFormat="1" x14ac:dyDescent="0.2"/>
    <row r="977" s="1" customFormat="1" x14ac:dyDescent="0.2"/>
    <row r="978" s="1" customFormat="1" x14ac:dyDescent="0.2"/>
    <row r="979" s="1" customFormat="1" x14ac:dyDescent="0.2"/>
    <row r="980" s="1" customFormat="1" x14ac:dyDescent="0.2"/>
    <row r="981" s="1" customFormat="1" x14ac:dyDescent="0.2"/>
    <row r="982" s="1" customFormat="1" x14ac:dyDescent="0.2"/>
    <row r="983" s="1" customFormat="1" x14ac:dyDescent="0.2"/>
    <row r="984" s="1" customFormat="1" x14ac:dyDescent="0.2"/>
    <row r="985" s="1" customFormat="1" x14ac:dyDescent="0.2"/>
    <row r="986" s="1" customFormat="1" x14ac:dyDescent="0.2"/>
    <row r="987" s="1" customFormat="1" x14ac:dyDescent="0.2"/>
    <row r="988" s="1" customFormat="1" x14ac:dyDescent="0.2"/>
    <row r="989" s="1" customFormat="1" x14ac:dyDescent="0.2"/>
    <row r="990" s="1" customFormat="1" x14ac:dyDescent="0.2"/>
    <row r="991" s="1" customFormat="1" x14ac:dyDescent="0.2"/>
    <row r="992" s="1" customFormat="1" x14ac:dyDescent="0.2"/>
    <row r="993" s="1" customFormat="1" x14ac:dyDescent="0.2"/>
    <row r="994" s="1" customFormat="1" x14ac:dyDescent="0.2"/>
    <row r="995" s="1" customFormat="1" x14ac:dyDescent="0.2"/>
    <row r="996" s="1" customFormat="1" x14ac:dyDescent="0.2"/>
    <row r="997" s="1" customFormat="1" x14ac:dyDescent="0.2"/>
    <row r="998" s="1" customFormat="1" x14ac:dyDescent="0.2"/>
    <row r="999" s="1" customFormat="1" x14ac:dyDescent="0.2"/>
    <row r="1000" s="1" customFormat="1" x14ac:dyDescent="0.2"/>
    <row r="1001" s="1" customFormat="1" x14ac:dyDescent="0.2"/>
    <row r="1002" s="1" customFormat="1" x14ac:dyDescent="0.2"/>
    <row r="1003" s="1" customFormat="1" x14ac:dyDescent="0.2"/>
    <row r="1004" s="1" customFormat="1" x14ac:dyDescent="0.2"/>
    <row r="1005" s="1" customFormat="1" x14ac:dyDescent="0.2"/>
    <row r="1006" s="1" customFormat="1" x14ac:dyDescent="0.2"/>
    <row r="1007" s="1" customFormat="1" x14ac:dyDescent="0.2"/>
    <row r="1008" s="1" customFormat="1" x14ac:dyDescent="0.2"/>
    <row r="1009" s="1" customFormat="1" x14ac:dyDescent="0.2"/>
    <row r="1010" s="1" customFormat="1" x14ac:dyDescent="0.2"/>
    <row r="1011" s="1" customFormat="1" x14ac:dyDescent="0.2"/>
    <row r="1012" s="1" customFormat="1" x14ac:dyDescent="0.2"/>
    <row r="1013" s="1" customFormat="1" x14ac:dyDescent="0.2"/>
    <row r="1014" s="1" customFormat="1" x14ac:dyDescent="0.2"/>
    <row r="1015" s="1" customFormat="1" x14ac:dyDescent="0.2"/>
    <row r="1016" s="1" customFormat="1" x14ac:dyDescent="0.2"/>
    <row r="1017" s="1" customFormat="1" x14ac:dyDescent="0.2"/>
    <row r="1018" s="1" customFormat="1" x14ac:dyDescent="0.2"/>
    <row r="1019" s="1" customFormat="1" x14ac:dyDescent="0.2"/>
    <row r="1020" s="1" customFormat="1" x14ac:dyDescent="0.2"/>
    <row r="1021" s="1" customFormat="1" x14ac:dyDescent="0.2"/>
    <row r="1022" s="1" customFormat="1" x14ac:dyDescent="0.2"/>
    <row r="1023" s="1" customFormat="1" x14ac:dyDescent="0.2"/>
    <row r="1024" s="1" customFormat="1" x14ac:dyDescent="0.2"/>
    <row r="1025" s="1" customFormat="1" x14ac:dyDescent="0.2"/>
    <row r="1026" s="1" customFormat="1" x14ac:dyDescent="0.2"/>
    <row r="1027" s="1" customFormat="1" x14ac:dyDescent="0.2"/>
    <row r="1028" s="1" customFormat="1" x14ac:dyDescent="0.2"/>
    <row r="1029" s="1" customFormat="1" x14ac:dyDescent="0.2"/>
    <row r="1030" s="1" customFormat="1" x14ac:dyDescent="0.2"/>
    <row r="1031" s="1" customFormat="1" x14ac:dyDescent="0.2"/>
    <row r="1032" s="1" customFormat="1" x14ac:dyDescent="0.2"/>
    <row r="1033" s="1" customFormat="1" x14ac:dyDescent="0.2"/>
    <row r="1034" s="1" customFormat="1" x14ac:dyDescent="0.2"/>
    <row r="1035" s="1" customFormat="1" x14ac:dyDescent="0.2"/>
    <row r="1036" s="1" customFormat="1" x14ac:dyDescent="0.2"/>
    <row r="1037" s="1" customFormat="1" x14ac:dyDescent="0.2"/>
    <row r="1038" s="1" customFormat="1" x14ac:dyDescent="0.2"/>
    <row r="1039" s="1" customFormat="1" x14ac:dyDescent="0.2"/>
    <row r="1040" s="1" customFormat="1" x14ac:dyDescent="0.2"/>
    <row r="1041" s="1" customFormat="1" x14ac:dyDescent="0.2"/>
    <row r="1042" s="1" customFormat="1" x14ac:dyDescent="0.2"/>
    <row r="1043" s="1" customFormat="1" x14ac:dyDescent="0.2"/>
    <row r="1044" s="1" customFormat="1" x14ac:dyDescent="0.2"/>
    <row r="1045" s="1" customFormat="1" x14ac:dyDescent="0.2"/>
    <row r="1046" s="1" customFormat="1" x14ac:dyDescent="0.2"/>
    <row r="1047" s="1" customFormat="1" x14ac:dyDescent="0.2"/>
    <row r="1048" s="1" customFormat="1" x14ac:dyDescent="0.2"/>
    <row r="1049" s="1" customFormat="1" x14ac:dyDescent="0.2"/>
    <row r="1050" s="1" customFormat="1" x14ac:dyDescent="0.2"/>
    <row r="1051" s="1" customFormat="1" x14ac:dyDescent="0.2"/>
    <row r="1052" s="1" customFormat="1" x14ac:dyDescent="0.2"/>
    <row r="1053" s="1" customFormat="1" x14ac:dyDescent="0.2"/>
    <row r="1054" s="1" customFormat="1" x14ac:dyDescent="0.2"/>
    <row r="1055" s="1" customFormat="1" x14ac:dyDescent="0.2"/>
    <row r="1056" s="1" customFormat="1" x14ac:dyDescent="0.2"/>
    <row r="1057" s="1" customFormat="1" x14ac:dyDescent="0.2"/>
    <row r="1058" s="1" customFormat="1" x14ac:dyDescent="0.2"/>
    <row r="1059" s="1" customFormat="1" x14ac:dyDescent="0.2"/>
    <row r="1060" s="1" customFormat="1" x14ac:dyDescent="0.2"/>
    <row r="1061" s="1" customFormat="1" x14ac:dyDescent="0.2"/>
    <row r="1062" s="1" customFormat="1" x14ac:dyDescent="0.2"/>
    <row r="1063" s="1" customFormat="1" x14ac:dyDescent="0.2"/>
    <row r="1064" s="1" customFormat="1" x14ac:dyDescent="0.2"/>
    <row r="1065" s="1" customFormat="1" x14ac:dyDescent="0.2"/>
    <row r="1066" s="1" customFormat="1" x14ac:dyDescent="0.2"/>
    <row r="1067" s="1" customFormat="1" x14ac:dyDescent="0.2"/>
    <row r="1068" s="1" customFormat="1" x14ac:dyDescent="0.2"/>
    <row r="1069" s="1" customFormat="1" x14ac:dyDescent="0.2"/>
    <row r="1070" s="1" customFormat="1" x14ac:dyDescent="0.2"/>
    <row r="1071" s="1" customFormat="1" x14ac:dyDescent="0.2"/>
    <row r="1072" s="1" customFormat="1" x14ac:dyDescent="0.2"/>
    <row r="1073" s="1" customFormat="1" x14ac:dyDescent="0.2"/>
    <row r="1074" s="1" customFormat="1" x14ac:dyDescent="0.2"/>
    <row r="1075" s="1" customFormat="1" x14ac:dyDescent="0.2"/>
    <row r="1076" s="1" customFormat="1" x14ac:dyDescent="0.2"/>
    <row r="1077" s="1" customFormat="1" x14ac:dyDescent="0.2"/>
    <row r="1078" s="1" customFormat="1" x14ac:dyDescent="0.2"/>
    <row r="1079" s="1" customFormat="1" x14ac:dyDescent="0.2"/>
    <row r="1080" s="1" customFormat="1" x14ac:dyDescent="0.2"/>
    <row r="1081" s="1" customFormat="1" x14ac:dyDescent="0.2"/>
    <row r="1082" s="1" customFormat="1" x14ac:dyDescent="0.2"/>
    <row r="1083" s="1" customFormat="1" x14ac:dyDescent="0.2"/>
    <row r="1084" s="1" customFormat="1" x14ac:dyDescent="0.2"/>
    <row r="1085" s="1" customFormat="1" x14ac:dyDescent="0.2"/>
    <row r="1086" s="1" customFormat="1" x14ac:dyDescent="0.2"/>
    <row r="1087" s="1" customFormat="1" x14ac:dyDescent="0.2"/>
    <row r="1088" s="1" customFormat="1" x14ac:dyDescent="0.2"/>
    <row r="1089" s="1" customFormat="1" x14ac:dyDescent="0.2"/>
    <row r="1090" s="1" customFormat="1" x14ac:dyDescent="0.2"/>
    <row r="1091" s="1" customFormat="1" x14ac:dyDescent="0.2"/>
    <row r="1092" s="1" customFormat="1" x14ac:dyDescent="0.2"/>
    <row r="1093" s="1" customFormat="1" x14ac:dyDescent="0.2"/>
    <row r="1094" s="1" customFormat="1" x14ac:dyDescent="0.2"/>
    <row r="1095" s="1" customFormat="1" x14ac:dyDescent="0.2"/>
    <row r="1096" s="1" customFormat="1" x14ac:dyDescent="0.2"/>
    <row r="1097" s="1" customFormat="1" x14ac:dyDescent="0.2"/>
    <row r="1098" s="1" customFormat="1" x14ac:dyDescent="0.2"/>
    <row r="1099" s="1" customFormat="1" x14ac:dyDescent="0.2"/>
    <row r="1100" s="1" customFormat="1" x14ac:dyDescent="0.2"/>
    <row r="1101" s="1" customFormat="1" x14ac:dyDescent="0.2"/>
    <row r="1102" s="1" customFormat="1" x14ac:dyDescent="0.2"/>
    <row r="1103" s="1" customFormat="1" x14ac:dyDescent="0.2"/>
    <row r="1104" s="1" customFormat="1" x14ac:dyDescent="0.2"/>
    <row r="1105" s="1" customFormat="1" x14ac:dyDescent="0.2"/>
    <row r="1106" s="1" customFormat="1" x14ac:dyDescent="0.2"/>
    <row r="1107" s="1" customFormat="1" x14ac:dyDescent="0.2"/>
    <row r="1108" s="1" customFormat="1" x14ac:dyDescent="0.2"/>
    <row r="1109" s="1" customFormat="1" x14ac:dyDescent="0.2"/>
    <row r="1110" s="1" customFormat="1" x14ac:dyDescent="0.2"/>
    <row r="1111" s="1" customFormat="1" x14ac:dyDescent="0.2"/>
    <row r="1112" s="1" customFormat="1" x14ac:dyDescent="0.2"/>
    <row r="1113" s="1" customFormat="1" x14ac:dyDescent="0.2"/>
    <row r="1114" s="1" customFormat="1" x14ac:dyDescent="0.2"/>
    <row r="1115" s="1" customFormat="1" x14ac:dyDescent="0.2"/>
    <row r="1116" s="1" customFormat="1" x14ac:dyDescent="0.2"/>
    <row r="1117" s="1" customFormat="1" x14ac:dyDescent="0.2"/>
    <row r="1118" s="1" customFormat="1" x14ac:dyDescent="0.2"/>
    <row r="1119" s="1" customFormat="1" x14ac:dyDescent="0.2"/>
    <row r="1120" s="1" customFormat="1" x14ac:dyDescent="0.2"/>
    <row r="1121" s="1" customFormat="1" x14ac:dyDescent="0.2"/>
    <row r="1122" s="1" customFormat="1" x14ac:dyDescent="0.2"/>
    <row r="1123" s="1" customFormat="1" x14ac:dyDescent="0.2"/>
    <row r="1124" s="1" customFormat="1" x14ac:dyDescent="0.2"/>
    <row r="1125" s="1" customFormat="1" x14ac:dyDescent="0.2"/>
    <row r="1126" s="1" customFormat="1" x14ac:dyDescent="0.2"/>
    <row r="1127" s="1" customFormat="1" x14ac:dyDescent="0.2"/>
    <row r="1128" s="1" customFormat="1" x14ac:dyDescent="0.2"/>
    <row r="1129" s="1" customFormat="1" x14ac:dyDescent="0.2"/>
    <row r="1130" s="1" customFormat="1" x14ac:dyDescent="0.2"/>
    <row r="1131" s="1" customFormat="1" x14ac:dyDescent="0.2"/>
    <row r="1132" s="1" customFormat="1" x14ac:dyDescent="0.2"/>
    <row r="1133" s="1" customFormat="1" x14ac:dyDescent="0.2"/>
    <row r="1134" s="1" customFormat="1" x14ac:dyDescent="0.2"/>
    <row r="1135" s="1" customFormat="1" x14ac:dyDescent="0.2"/>
    <row r="1136" s="1" customFormat="1" x14ac:dyDescent="0.2"/>
    <row r="1137" s="1" customFormat="1" x14ac:dyDescent="0.2"/>
    <row r="1138" s="1" customFormat="1" x14ac:dyDescent="0.2"/>
    <row r="1139" s="1" customFormat="1" x14ac:dyDescent="0.2"/>
    <row r="1140" s="1" customFormat="1" x14ac:dyDescent="0.2"/>
    <row r="1141" s="1" customFormat="1" x14ac:dyDescent="0.2"/>
    <row r="1142" s="1" customFormat="1" x14ac:dyDescent="0.2"/>
    <row r="1143" s="1" customFormat="1" x14ac:dyDescent="0.2"/>
    <row r="1144" s="1" customFormat="1" x14ac:dyDescent="0.2"/>
    <row r="1145" s="1" customFormat="1" x14ac:dyDescent="0.2"/>
    <row r="1146" s="1" customFormat="1" x14ac:dyDescent="0.2"/>
    <row r="1147" s="1" customFormat="1" x14ac:dyDescent="0.2"/>
    <row r="1148" s="1" customFormat="1" x14ac:dyDescent="0.2"/>
    <row r="1149" s="1" customFormat="1" x14ac:dyDescent="0.2"/>
    <row r="1150" s="1" customFormat="1" x14ac:dyDescent="0.2"/>
    <row r="1151" s="1" customFormat="1" x14ac:dyDescent="0.2"/>
    <row r="1152" s="1" customFormat="1" x14ac:dyDescent="0.2"/>
    <row r="1153" s="1" customFormat="1" x14ac:dyDescent="0.2"/>
    <row r="1154" s="1" customFormat="1" x14ac:dyDescent="0.2"/>
    <row r="1155" s="1" customFormat="1" x14ac:dyDescent="0.2"/>
    <row r="1156" s="1" customFormat="1" x14ac:dyDescent="0.2"/>
    <row r="1157" s="1" customFormat="1" x14ac:dyDescent="0.2"/>
    <row r="1158" s="1" customFormat="1" x14ac:dyDescent="0.2"/>
    <row r="1159" s="1" customFormat="1" x14ac:dyDescent="0.2"/>
    <row r="1160" s="1" customFormat="1" x14ac:dyDescent="0.2"/>
    <row r="1161" s="1" customFormat="1" x14ac:dyDescent="0.2"/>
    <row r="1162" s="1" customFormat="1" x14ac:dyDescent="0.2"/>
    <row r="1163" s="1" customFormat="1" x14ac:dyDescent="0.2"/>
    <row r="1164" s="1" customFormat="1" x14ac:dyDescent="0.2"/>
    <row r="1165" s="1" customFormat="1" x14ac:dyDescent="0.2"/>
    <row r="1166" s="1" customFormat="1" x14ac:dyDescent="0.2"/>
    <row r="1167" s="1" customFormat="1" x14ac:dyDescent="0.2"/>
    <row r="1168" s="1" customFormat="1" x14ac:dyDescent="0.2"/>
    <row r="1169" s="1" customFormat="1" x14ac:dyDescent="0.2"/>
    <row r="1170" s="1" customFormat="1" x14ac:dyDescent="0.2"/>
    <row r="1171" s="1" customFormat="1" x14ac:dyDescent="0.2"/>
    <row r="1172" s="1" customFormat="1" x14ac:dyDescent="0.2"/>
    <row r="1173" s="1" customFormat="1" x14ac:dyDescent="0.2"/>
    <row r="1174" s="1" customFormat="1" x14ac:dyDescent="0.2"/>
    <row r="1175" s="1" customFormat="1" x14ac:dyDescent="0.2"/>
    <row r="1176" s="1" customFormat="1" x14ac:dyDescent="0.2"/>
    <row r="1177" s="1" customFormat="1" x14ac:dyDescent="0.2"/>
    <row r="1178" s="1" customFormat="1" x14ac:dyDescent="0.2"/>
    <row r="1179" s="1" customFormat="1" x14ac:dyDescent="0.2"/>
    <row r="1180" s="1" customFormat="1" x14ac:dyDescent="0.2"/>
    <row r="1181" s="1" customFormat="1" x14ac:dyDescent="0.2"/>
    <row r="1182" s="1" customFormat="1" x14ac:dyDescent="0.2"/>
    <row r="1183" s="1" customFormat="1" x14ac:dyDescent="0.2"/>
    <row r="1184" s="1" customFormat="1" x14ac:dyDescent="0.2"/>
    <row r="1185" s="1" customFormat="1" x14ac:dyDescent="0.2"/>
    <row r="1186" s="1" customFormat="1" x14ac:dyDescent="0.2"/>
    <row r="1187" s="1" customFormat="1" x14ac:dyDescent="0.2"/>
    <row r="1188" s="1" customFormat="1" x14ac:dyDescent="0.2"/>
    <row r="1189" s="1" customFormat="1" x14ac:dyDescent="0.2"/>
    <row r="1190" s="1" customFormat="1" x14ac:dyDescent="0.2"/>
    <row r="1191" s="1" customFormat="1" x14ac:dyDescent="0.2"/>
    <row r="1192" s="1" customFormat="1" x14ac:dyDescent="0.2"/>
    <row r="1193" s="1" customFormat="1" x14ac:dyDescent="0.2"/>
    <row r="1194" s="1" customFormat="1" x14ac:dyDescent="0.2"/>
    <row r="1195" s="1" customFormat="1" x14ac:dyDescent="0.2"/>
    <row r="1196" s="1" customFormat="1" x14ac:dyDescent="0.2"/>
    <row r="1197" s="1" customFormat="1" x14ac:dyDescent="0.2"/>
    <row r="1198" s="1" customFormat="1" x14ac:dyDescent="0.2"/>
    <row r="1199" s="1" customFormat="1" x14ac:dyDescent="0.2"/>
    <row r="1200" s="1" customFormat="1" x14ac:dyDescent="0.2"/>
    <row r="1201" s="1" customFormat="1" x14ac:dyDescent="0.2"/>
    <row r="1202" s="1" customFormat="1" x14ac:dyDescent="0.2"/>
    <row r="1203" s="1" customFormat="1" x14ac:dyDescent="0.2"/>
    <row r="1204" s="1" customFormat="1" x14ac:dyDescent="0.2"/>
    <row r="1205" s="1" customFormat="1" x14ac:dyDescent="0.2"/>
    <row r="1206" s="1" customFormat="1" x14ac:dyDescent="0.2"/>
    <row r="1207" s="1" customFormat="1" x14ac:dyDescent="0.2"/>
    <row r="1208" s="1" customFormat="1" x14ac:dyDescent="0.2"/>
    <row r="1209" s="1" customFormat="1" x14ac:dyDescent="0.2"/>
    <row r="1210" s="1" customFormat="1" x14ac:dyDescent="0.2"/>
    <row r="1211" s="1" customFormat="1" x14ac:dyDescent="0.2"/>
    <row r="1212" s="1" customFormat="1" x14ac:dyDescent="0.2"/>
    <row r="1213" s="1" customFormat="1" x14ac:dyDescent="0.2"/>
    <row r="1214" s="1" customFormat="1" x14ac:dyDescent="0.2"/>
    <row r="1215" s="1" customFormat="1" x14ac:dyDescent="0.2"/>
    <row r="1216" s="1" customFormat="1" x14ac:dyDescent="0.2"/>
    <row r="1217" s="1" customFormat="1" x14ac:dyDescent="0.2"/>
    <row r="1218" s="1" customFormat="1" x14ac:dyDescent="0.2"/>
    <row r="1219" s="1" customFormat="1" x14ac:dyDescent="0.2"/>
    <row r="1220" s="1" customFormat="1" x14ac:dyDescent="0.2"/>
    <row r="1221" s="1" customFormat="1" x14ac:dyDescent="0.2"/>
    <row r="1222" s="1" customFormat="1" x14ac:dyDescent="0.2"/>
    <row r="1223" s="1" customFormat="1" x14ac:dyDescent="0.2"/>
    <row r="1224" s="1" customFormat="1" x14ac:dyDescent="0.2"/>
    <row r="1225" s="1" customFormat="1" x14ac:dyDescent="0.2"/>
    <row r="1226" s="1" customFormat="1" x14ac:dyDescent="0.2"/>
    <row r="1227" s="1" customFormat="1" x14ac:dyDescent="0.2"/>
    <row r="1228" s="1" customFormat="1" x14ac:dyDescent="0.2"/>
    <row r="1229" s="1" customFormat="1" x14ac:dyDescent="0.2"/>
    <row r="1230" s="1" customFormat="1" x14ac:dyDescent="0.2"/>
    <row r="1231" s="1" customFormat="1" x14ac:dyDescent="0.2"/>
    <row r="1232" s="1" customFormat="1" x14ac:dyDescent="0.2"/>
    <row r="1233" s="1" customFormat="1" x14ac:dyDescent="0.2"/>
    <row r="1234" s="1" customFormat="1" x14ac:dyDescent="0.2"/>
    <row r="1235" s="1" customFormat="1" x14ac:dyDescent="0.2"/>
    <row r="1236" s="1" customFormat="1" x14ac:dyDescent="0.2"/>
    <row r="1237" s="1" customFormat="1" x14ac:dyDescent="0.2"/>
    <row r="1238" s="1" customFormat="1" x14ac:dyDescent="0.2"/>
    <row r="1239" s="1" customFormat="1" x14ac:dyDescent="0.2"/>
    <row r="1240" s="1" customFormat="1" x14ac:dyDescent="0.2"/>
    <row r="1241" s="1" customFormat="1" x14ac:dyDescent="0.2"/>
    <row r="1242" s="1" customFormat="1" x14ac:dyDescent="0.2"/>
    <row r="1243" s="1" customFormat="1" x14ac:dyDescent="0.2"/>
    <row r="1244" s="1" customFormat="1" x14ac:dyDescent="0.2"/>
    <row r="1245" s="1" customFormat="1" x14ac:dyDescent="0.2"/>
    <row r="1246" s="1" customFormat="1" x14ac:dyDescent="0.2"/>
    <row r="1247" s="1" customFormat="1" x14ac:dyDescent="0.2"/>
    <row r="1248" s="1" customFormat="1" x14ac:dyDescent="0.2"/>
    <row r="1249" s="1" customFormat="1" x14ac:dyDescent="0.2"/>
    <row r="1250" s="1" customFormat="1" x14ac:dyDescent="0.2"/>
    <row r="1251" s="1" customFormat="1" x14ac:dyDescent="0.2"/>
    <row r="1252" s="1" customFormat="1" x14ac:dyDescent="0.2"/>
    <row r="1253" s="1" customFormat="1" x14ac:dyDescent="0.2"/>
    <row r="1254" s="1" customFormat="1" x14ac:dyDescent="0.2"/>
    <row r="1255" s="1" customFormat="1" x14ac:dyDescent="0.2"/>
    <row r="1256" s="1" customFormat="1" x14ac:dyDescent="0.2"/>
    <row r="1257" s="1" customFormat="1" x14ac:dyDescent="0.2"/>
    <row r="1258" s="1" customFormat="1" x14ac:dyDescent="0.2"/>
    <row r="1259" s="1" customFormat="1" x14ac:dyDescent="0.2"/>
    <row r="1260" s="1" customFormat="1" x14ac:dyDescent="0.2"/>
    <row r="1261" s="1" customFormat="1" x14ac:dyDescent="0.2"/>
    <row r="1262" s="1" customFormat="1" x14ac:dyDescent="0.2"/>
    <row r="1263" s="1" customFormat="1" x14ac:dyDescent="0.2"/>
    <row r="1264" s="1" customFormat="1" x14ac:dyDescent="0.2"/>
    <row r="1265" s="1" customFormat="1" x14ac:dyDescent="0.2"/>
    <row r="1266" s="1" customFormat="1" x14ac:dyDescent="0.2"/>
    <row r="1267" s="1" customFormat="1" x14ac:dyDescent="0.2"/>
    <row r="1268" s="1" customFormat="1" x14ac:dyDescent="0.2"/>
    <row r="1269" s="1" customFormat="1" x14ac:dyDescent="0.2"/>
    <row r="1270" s="1" customFormat="1" x14ac:dyDescent="0.2"/>
    <row r="1271" s="1" customFormat="1" x14ac:dyDescent="0.2"/>
    <row r="1272" s="1" customFormat="1" x14ac:dyDescent="0.2"/>
    <row r="1273" s="1" customFormat="1" x14ac:dyDescent="0.2"/>
    <row r="1274" s="1" customFormat="1" x14ac:dyDescent="0.2"/>
    <row r="1275" s="1" customFormat="1" x14ac:dyDescent="0.2"/>
    <row r="1276" s="1" customFormat="1" x14ac:dyDescent="0.2"/>
    <row r="1277" s="1" customFormat="1" x14ac:dyDescent="0.2"/>
    <row r="1278" s="1" customFormat="1" x14ac:dyDescent="0.2"/>
    <row r="1279" s="1" customFormat="1" x14ac:dyDescent="0.2"/>
    <row r="1280" s="1" customFormat="1" x14ac:dyDescent="0.2"/>
    <row r="1281" s="1" customFormat="1" x14ac:dyDescent="0.2"/>
    <row r="1282" s="1" customFormat="1" x14ac:dyDescent="0.2"/>
    <row r="1283" s="1" customFormat="1" x14ac:dyDescent="0.2"/>
    <row r="1284" s="1" customFormat="1" x14ac:dyDescent="0.2"/>
    <row r="1285" s="1" customFormat="1" x14ac:dyDescent="0.2"/>
    <row r="1286" s="1" customFormat="1" x14ac:dyDescent="0.2"/>
    <row r="1287" s="1" customFormat="1" x14ac:dyDescent="0.2"/>
    <row r="1288" s="1" customFormat="1" x14ac:dyDescent="0.2"/>
    <row r="1289" s="1" customFormat="1" x14ac:dyDescent="0.2"/>
    <row r="1290" s="1" customFormat="1" x14ac:dyDescent="0.2"/>
    <row r="1291" s="1" customFormat="1" x14ac:dyDescent="0.2"/>
    <row r="1292" s="1" customFormat="1" x14ac:dyDescent="0.2"/>
    <row r="1293" s="1" customFormat="1" x14ac:dyDescent="0.2"/>
    <row r="1294" s="1" customFormat="1" x14ac:dyDescent="0.2"/>
    <row r="1295" s="1" customFormat="1" x14ac:dyDescent="0.2"/>
    <row r="1296" s="1" customFormat="1" x14ac:dyDescent="0.2"/>
    <row r="1297" s="1" customFormat="1" x14ac:dyDescent="0.2"/>
    <row r="1298" s="1" customFormat="1" x14ac:dyDescent="0.2"/>
    <row r="1299" s="1" customFormat="1" x14ac:dyDescent="0.2"/>
    <row r="1300" s="1" customFormat="1" x14ac:dyDescent="0.2"/>
    <row r="1301" s="1" customFormat="1" x14ac:dyDescent="0.2"/>
    <row r="1302" s="1" customFormat="1" x14ac:dyDescent="0.2"/>
    <row r="1303" s="1" customFormat="1" x14ac:dyDescent="0.2"/>
    <row r="1304" s="1" customFormat="1" x14ac:dyDescent="0.2"/>
    <row r="1305" s="1" customFormat="1" x14ac:dyDescent="0.2"/>
    <row r="1306" s="1" customFormat="1" x14ac:dyDescent="0.2"/>
    <row r="1307" s="1" customFormat="1" x14ac:dyDescent="0.2"/>
    <row r="1308" s="1" customFormat="1" x14ac:dyDescent="0.2"/>
    <row r="1309" s="1" customFormat="1" x14ac:dyDescent="0.2"/>
    <row r="1310" s="1" customFormat="1" x14ac:dyDescent="0.2"/>
    <row r="1311" s="1" customFormat="1" x14ac:dyDescent="0.2"/>
    <row r="1312" s="1" customFormat="1" x14ac:dyDescent="0.2"/>
    <row r="1313" s="1" customFormat="1" x14ac:dyDescent="0.2"/>
    <row r="1314" s="1" customFormat="1" x14ac:dyDescent="0.2"/>
    <row r="1315" s="1" customFormat="1" x14ac:dyDescent="0.2"/>
    <row r="1316" s="1" customFormat="1" x14ac:dyDescent="0.2"/>
    <row r="1317" s="1" customFormat="1" x14ac:dyDescent="0.2"/>
    <row r="1318" s="1" customFormat="1" x14ac:dyDescent="0.2"/>
    <row r="1319" s="1" customFormat="1" x14ac:dyDescent="0.2"/>
    <row r="1320" s="1" customFormat="1" x14ac:dyDescent="0.2"/>
    <row r="1321" s="1" customFormat="1" x14ac:dyDescent="0.2"/>
    <row r="1322" s="1" customFormat="1" x14ac:dyDescent="0.2"/>
    <row r="1323" s="1" customFormat="1" x14ac:dyDescent="0.2"/>
    <row r="1324" s="1" customFormat="1" x14ac:dyDescent="0.2"/>
    <row r="1325" s="1" customFormat="1" x14ac:dyDescent="0.2"/>
    <row r="1326" s="1" customFormat="1" x14ac:dyDescent="0.2"/>
    <row r="1327" s="1" customFormat="1" x14ac:dyDescent="0.2"/>
    <row r="1328" s="1" customFormat="1" x14ac:dyDescent="0.2"/>
    <row r="1329" s="1" customFormat="1" x14ac:dyDescent="0.2"/>
    <row r="1330" s="1" customFormat="1" x14ac:dyDescent="0.2"/>
    <row r="1331" s="1" customFormat="1" x14ac:dyDescent="0.2"/>
    <row r="1332" s="1" customFormat="1" x14ac:dyDescent="0.2"/>
    <row r="1333" s="1" customFormat="1" x14ac:dyDescent="0.2"/>
    <row r="1334" s="1" customFormat="1" x14ac:dyDescent="0.2"/>
    <row r="1335" s="1" customFormat="1" x14ac:dyDescent="0.2"/>
    <row r="1336" s="1" customFormat="1" x14ac:dyDescent="0.2"/>
    <row r="1337" s="1" customFormat="1" x14ac:dyDescent="0.2"/>
    <row r="1338" s="1" customFormat="1" x14ac:dyDescent="0.2"/>
    <row r="1339" s="1" customFormat="1" x14ac:dyDescent="0.2"/>
    <row r="1340" s="1" customFormat="1" x14ac:dyDescent="0.2"/>
    <row r="1341" s="1" customFormat="1" x14ac:dyDescent="0.2"/>
    <row r="1342" s="1" customFormat="1" x14ac:dyDescent="0.2"/>
    <row r="1343" s="1" customFormat="1" x14ac:dyDescent="0.2"/>
    <row r="1344" s="1" customFormat="1" x14ac:dyDescent="0.2"/>
    <row r="1345" s="1" customFormat="1" x14ac:dyDescent="0.2"/>
    <row r="1346" s="1" customFormat="1" x14ac:dyDescent="0.2"/>
    <row r="1347" s="1" customFormat="1" x14ac:dyDescent="0.2"/>
    <row r="1348" s="1" customFormat="1" x14ac:dyDescent="0.2"/>
    <row r="1349" s="1" customFormat="1" x14ac:dyDescent="0.2"/>
    <row r="1350" s="1" customFormat="1" x14ac:dyDescent="0.2"/>
    <row r="1351" s="1" customFormat="1" x14ac:dyDescent="0.2"/>
    <row r="1352" s="1" customFormat="1" x14ac:dyDescent="0.2"/>
    <row r="1353" s="1" customFormat="1" x14ac:dyDescent="0.2"/>
    <row r="1354" s="1" customFormat="1" x14ac:dyDescent="0.2"/>
    <row r="1355" s="1" customFormat="1" x14ac:dyDescent="0.2"/>
    <row r="1356" s="1" customFormat="1" x14ac:dyDescent="0.2"/>
    <row r="1357" s="1" customFormat="1" x14ac:dyDescent="0.2"/>
    <row r="1358" s="1" customFormat="1" x14ac:dyDescent="0.2"/>
    <row r="1359" s="1" customFormat="1" x14ac:dyDescent="0.2"/>
    <row r="1360" s="1" customFormat="1" x14ac:dyDescent="0.2"/>
    <row r="1361" s="1" customFormat="1" x14ac:dyDescent="0.2"/>
    <row r="1362" s="1" customFormat="1" x14ac:dyDescent="0.2"/>
    <row r="1363" s="1" customFormat="1" x14ac:dyDescent="0.2"/>
    <row r="1364" s="1" customFormat="1" x14ac:dyDescent="0.2"/>
    <row r="1365" s="1" customFormat="1" x14ac:dyDescent="0.2"/>
    <row r="1366" s="1" customFormat="1" x14ac:dyDescent="0.2"/>
    <row r="1367" s="1" customFormat="1" x14ac:dyDescent="0.2"/>
    <row r="1368" s="1" customFormat="1" x14ac:dyDescent="0.2"/>
    <row r="1369" s="1" customFormat="1" x14ac:dyDescent="0.2"/>
    <row r="1370" s="1" customFormat="1" x14ac:dyDescent="0.2"/>
    <row r="1371" s="1" customFormat="1" x14ac:dyDescent="0.2"/>
    <row r="1372" s="1" customFormat="1" x14ac:dyDescent="0.2"/>
    <row r="1373" s="1" customFormat="1" x14ac:dyDescent="0.2"/>
    <row r="1374" s="1" customFormat="1" x14ac:dyDescent="0.2"/>
    <row r="1375" s="1" customFormat="1" x14ac:dyDescent="0.2"/>
    <row r="1376" s="1" customFormat="1" x14ac:dyDescent="0.2"/>
    <row r="1377" s="1" customFormat="1" x14ac:dyDescent="0.2"/>
    <row r="1378" s="1" customFormat="1" x14ac:dyDescent="0.2"/>
    <row r="1379" s="1" customFormat="1" x14ac:dyDescent="0.2"/>
    <row r="1380" s="1" customFormat="1" x14ac:dyDescent="0.2"/>
    <row r="1381" s="1" customFormat="1" x14ac:dyDescent="0.2"/>
    <row r="1382" s="1" customFormat="1" x14ac:dyDescent="0.2"/>
    <row r="1383" s="1" customFormat="1" x14ac:dyDescent="0.2"/>
    <row r="1384" s="1" customFormat="1" x14ac:dyDescent="0.2"/>
    <row r="1385" s="1" customFormat="1" x14ac:dyDescent="0.2"/>
    <row r="1386" s="1" customFormat="1" x14ac:dyDescent="0.2"/>
    <row r="1387" s="1" customFormat="1" x14ac:dyDescent="0.2"/>
    <row r="1388" s="1" customFormat="1" x14ac:dyDescent="0.2"/>
    <row r="1389" s="1" customFormat="1" x14ac:dyDescent="0.2"/>
    <row r="1390" s="1" customFormat="1" x14ac:dyDescent="0.2"/>
    <row r="1391" s="1" customFormat="1" x14ac:dyDescent="0.2"/>
    <row r="1392" s="1" customFormat="1" x14ac:dyDescent="0.2"/>
    <row r="1393" s="1" customFormat="1" x14ac:dyDescent="0.2"/>
    <row r="1394" s="1" customFormat="1" x14ac:dyDescent="0.2"/>
    <row r="1395" s="1" customFormat="1" x14ac:dyDescent="0.2"/>
    <row r="1396" s="1" customFormat="1" x14ac:dyDescent="0.2"/>
    <row r="1397" s="1" customFormat="1" x14ac:dyDescent="0.2"/>
    <row r="1398" s="1" customFormat="1" x14ac:dyDescent="0.2"/>
    <row r="1399" s="1" customFormat="1" x14ac:dyDescent="0.2"/>
    <row r="1400" s="1" customFormat="1" x14ac:dyDescent="0.2"/>
    <row r="1401" s="1" customFormat="1" x14ac:dyDescent="0.2"/>
    <row r="1402" s="1" customFormat="1" x14ac:dyDescent="0.2"/>
    <row r="1403" s="1" customFormat="1" x14ac:dyDescent="0.2"/>
    <row r="1404" s="1" customFormat="1" x14ac:dyDescent="0.2"/>
    <row r="1405" s="1" customFormat="1" x14ac:dyDescent="0.2"/>
    <row r="1406" s="1" customFormat="1" x14ac:dyDescent="0.2"/>
    <row r="1407" s="1" customFormat="1" x14ac:dyDescent="0.2"/>
    <row r="1408" s="1" customFormat="1" x14ac:dyDescent="0.2"/>
    <row r="1409" s="1" customFormat="1" x14ac:dyDescent="0.2"/>
    <row r="1410" s="1" customFormat="1" x14ac:dyDescent="0.2"/>
    <row r="1411" s="1" customFormat="1" x14ac:dyDescent="0.2"/>
    <row r="1412" s="1" customFormat="1" x14ac:dyDescent="0.2"/>
    <row r="1413" s="1" customFormat="1" x14ac:dyDescent="0.2"/>
    <row r="1414" s="1" customFormat="1" x14ac:dyDescent="0.2"/>
    <row r="1415" s="1" customFormat="1" x14ac:dyDescent="0.2"/>
    <row r="1416" s="1" customFormat="1" x14ac:dyDescent="0.2"/>
    <row r="1417" s="1" customFormat="1" x14ac:dyDescent="0.2"/>
    <row r="1418" s="1" customFormat="1" x14ac:dyDescent="0.2"/>
    <row r="1419" s="1" customFormat="1" x14ac:dyDescent="0.2"/>
    <row r="1420" s="1" customFormat="1" x14ac:dyDescent="0.2"/>
    <row r="1421" s="1" customFormat="1" x14ac:dyDescent="0.2"/>
    <row r="1422" s="1" customFormat="1" x14ac:dyDescent="0.2"/>
    <row r="1423" s="1" customFormat="1" x14ac:dyDescent="0.2"/>
    <row r="1424" s="1" customFormat="1" x14ac:dyDescent="0.2"/>
    <row r="1425" s="1" customFormat="1" x14ac:dyDescent="0.2"/>
    <row r="1426" s="1" customFormat="1" x14ac:dyDescent="0.2"/>
    <row r="1427" s="1" customFormat="1" x14ac:dyDescent="0.2"/>
    <row r="1428" s="1" customFormat="1" x14ac:dyDescent="0.2"/>
    <row r="1429" s="1" customFormat="1" x14ac:dyDescent="0.2"/>
    <row r="1430" s="1" customFormat="1" x14ac:dyDescent="0.2"/>
    <row r="1431" s="1" customFormat="1" x14ac:dyDescent="0.2"/>
    <row r="1432" s="1" customFormat="1" x14ac:dyDescent="0.2"/>
    <row r="1440" s="1" customFormat="1" x14ac:dyDescent="0.2"/>
    <row r="1441" s="1" customFormat="1" x14ac:dyDescent="0.2"/>
    <row r="1442" s="1" customFormat="1" x14ac:dyDescent="0.2"/>
    <row r="1443" s="1" customFormat="1" x14ac:dyDescent="0.2"/>
    <row r="1444" s="1" customFormat="1" x14ac:dyDescent="0.2"/>
    <row r="1445" s="1" customFormat="1" x14ac:dyDescent="0.2"/>
    <row r="1446" s="1" customFormat="1" x14ac:dyDescent="0.2"/>
    <row r="1447" s="1" customFormat="1" x14ac:dyDescent="0.2"/>
    <row r="1448" s="1" customFormat="1" x14ac:dyDescent="0.2"/>
    <row r="1449" s="1" customFormat="1" x14ac:dyDescent="0.2"/>
    <row r="1450" s="1" customFormat="1" x14ac:dyDescent="0.2"/>
    <row r="1451" s="1" customFormat="1" x14ac:dyDescent="0.2"/>
    <row r="1452" s="1" customFormat="1" x14ac:dyDescent="0.2"/>
    <row r="1453" s="1" customFormat="1" x14ac:dyDescent="0.2"/>
    <row r="1454" s="1" customFormat="1" x14ac:dyDescent="0.2"/>
    <row r="1455" s="1" customFormat="1" x14ac:dyDescent="0.2"/>
    <row r="1456" s="1" customFormat="1" x14ac:dyDescent="0.2"/>
    <row r="1457" s="1" customFormat="1" x14ac:dyDescent="0.2"/>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9"/>
  <sheetViews>
    <sheetView workbookViewId="0">
      <pane ySplit="1" topLeftCell="A2" activePane="bottomLeft" state="frozen"/>
      <selection pane="bottomLeft"/>
    </sheetView>
  </sheetViews>
  <sheetFormatPr defaultRowHeight="12.75" x14ac:dyDescent="0.2"/>
  <cols>
    <col min="1" max="1" width="10.140625" style="1" customWidth="1"/>
    <col min="2" max="2" width="15.5703125" style="1" customWidth="1"/>
    <col min="3" max="3" width="10" style="16" customWidth="1"/>
    <col min="4" max="4" width="18.7109375" style="16" bestFit="1" customWidth="1"/>
    <col min="5" max="5" width="18.28515625" style="23" customWidth="1"/>
    <col min="6" max="6" width="16.7109375" style="13" customWidth="1"/>
    <col min="7" max="7" width="17.28515625" style="13" customWidth="1"/>
    <col min="8" max="8" width="120.5703125" style="1" bestFit="1" customWidth="1"/>
    <col min="9" max="16384" width="9.140625" style="1"/>
  </cols>
  <sheetData>
    <row r="1" spans="1:8" s="7" customFormat="1" x14ac:dyDescent="0.2">
      <c r="A1" s="7" t="s">
        <v>11</v>
      </c>
      <c r="B1" s="7" t="s">
        <v>12</v>
      </c>
      <c r="C1" s="20" t="s">
        <v>340</v>
      </c>
      <c r="D1" s="20" t="s">
        <v>341</v>
      </c>
      <c r="E1" s="22" t="s">
        <v>342</v>
      </c>
      <c r="F1" s="13" t="s">
        <v>343</v>
      </c>
      <c r="G1" s="18" t="s">
        <v>344</v>
      </c>
      <c r="H1" s="7" t="s">
        <v>17</v>
      </c>
    </row>
    <row r="2" spans="1:8" x14ac:dyDescent="0.2">
      <c r="A2" s="1">
        <v>61386</v>
      </c>
      <c r="B2" s="1" t="s">
        <v>22</v>
      </c>
      <c r="C2" s="16">
        <v>1515</v>
      </c>
      <c r="D2" s="16">
        <v>146349978642</v>
      </c>
      <c r="E2" s="23">
        <v>96600645.968316838</v>
      </c>
      <c r="F2" s="13">
        <v>0</v>
      </c>
      <c r="G2" s="13">
        <v>12142036000</v>
      </c>
      <c r="H2" s="1" t="s">
        <v>24</v>
      </c>
    </row>
    <row r="3" spans="1:8" x14ac:dyDescent="0.2">
      <c r="A3" s="1">
        <v>65001</v>
      </c>
      <c r="B3" s="1" t="s">
        <v>25</v>
      </c>
      <c r="C3" s="16">
        <v>1515</v>
      </c>
      <c r="D3" s="16">
        <v>373418079828</v>
      </c>
      <c r="E3" s="23">
        <v>246480580.74455449</v>
      </c>
      <c r="F3" s="13">
        <v>0</v>
      </c>
      <c r="G3" s="13">
        <v>30669753000</v>
      </c>
      <c r="H3" s="1" t="s">
        <v>27</v>
      </c>
    </row>
    <row r="4" spans="1:8" x14ac:dyDescent="0.2">
      <c r="A4" s="1">
        <v>61401</v>
      </c>
      <c r="B4" s="1" t="s">
        <v>28</v>
      </c>
      <c r="C4" s="16">
        <v>1515</v>
      </c>
      <c r="D4" s="16">
        <v>237159979683</v>
      </c>
      <c r="E4" s="23">
        <v>156541240.71485153</v>
      </c>
      <c r="F4" s="13">
        <f>-88915721</f>
        <v>-88915721</v>
      </c>
      <c r="G4" s="13">
        <v>46422951341</v>
      </c>
      <c r="H4" s="1" t="s">
        <v>30</v>
      </c>
    </row>
    <row r="5" spans="1:8" x14ac:dyDescent="0.2">
      <c r="A5" s="1">
        <v>61406</v>
      </c>
      <c r="B5" s="1" t="s">
        <v>31</v>
      </c>
      <c r="C5" s="16">
        <v>1515</v>
      </c>
      <c r="D5" s="16">
        <v>610578059511.00012</v>
      </c>
      <c r="E5" s="23">
        <v>403021821.45940602</v>
      </c>
      <c r="F5" s="13">
        <v>0</v>
      </c>
      <c r="G5" s="13">
        <v>57048974345</v>
      </c>
      <c r="H5" s="1" t="s">
        <v>33</v>
      </c>
    </row>
    <row r="6" spans="1:8" x14ac:dyDescent="0.2">
      <c r="A6" s="1">
        <v>61411</v>
      </c>
      <c r="B6" s="1" t="s">
        <v>34</v>
      </c>
      <c r="C6" s="16">
        <v>1515</v>
      </c>
      <c r="D6" s="16">
        <v>756928038153</v>
      </c>
      <c r="E6" s="23">
        <v>499622467.42772281</v>
      </c>
      <c r="F6" s="13">
        <v>0</v>
      </c>
      <c r="G6" s="13">
        <v>62984270000</v>
      </c>
      <c r="H6" s="1" t="s">
        <v>36</v>
      </c>
    </row>
    <row r="7" spans="1:8" x14ac:dyDescent="0.2">
      <c r="A7" s="1">
        <v>61473</v>
      </c>
      <c r="B7" s="1" t="s">
        <v>427</v>
      </c>
      <c r="C7" s="16">
        <v>1515</v>
      </c>
      <c r="D7" s="16">
        <v>37882364445</v>
      </c>
      <c r="E7" s="23">
        <v>25004861.019801974</v>
      </c>
      <c r="F7" s="13">
        <v>-35893241</v>
      </c>
      <c r="G7" s="13">
        <v>5549645000</v>
      </c>
      <c r="H7" s="1" t="s">
        <v>429</v>
      </c>
    </row>
    <row r="8" spans="1:8" x14ac:dyDescent="0.2">
      <c r="A8" s="1">
        <v>61416</v>
      </c>
      <c r="B8" s="1" t="s">
        <v>37</v>
      </c>
      <c r="C8" s="16">
        <v>1515</v>
      </c>
      <c r="D8" s="16">
        <v>12915309746</v>
      </c>
      <c r="E8" s="23">
        <v>8524956.9280528072</v>
      </c>
      <c r="F8" s="13">
        <v>0</v>
      </c>
      <c r="G8" s="13">
        <v>1845796761</v>
      </c>
      <c r="H8" s="1" t="s">
        <v>39</v>
      </c>
    </row>
    <row r="9" spans="1:8" x14ac:dyDescent="0.2">
      <c r="A9" s="1">
        <v>61421</v>
      </c>
      <c r="B9" s="1" t="s">
        <v>40</v>
      </c>
      <c r="C9" s="16">
        <v>1515</v>
      </c>
      <c r="D9" s="16">
        <v>69854070057</v>
      </c>
      <c r="E9" s="23">
        <v>46108297.067326717</v>
      </c>
      <c r="F9" s="13">
        <v>0</v>
      </c>
      <c r="G9" s="13">
        <v>8589693000</v>
      </c>
      <c r="H9" s="1" t="s">
        <v>42</v>
      </c>
    </row>
    <row r="10" spans="1:8" x14ac:dyDescent="0.2">
      <c r="A10" s="1">
        <v>61426</v>
      </c>
      <c r="B10" s="1" t="s">
        <v>43</v>
      </c>
      <c r="C10" s="16">
        <v>1515</v>
      </c>
      <c r="D10" s="16">
        <v>82769379803</v>
      </c>
      <c r="E10" s="23">
        <v>54633253.995379552</v>
      </c>
      <c r="F10" s="13">
        <v>0</v>
      </c>
      <c r="G10" s="13">
        <v>10108698000</v>
      </c>
      <c r="H10" s="1" t="s">
        <v>45</v>
      </c>
    </row>
    <row r="11" spans="1:8" x14ac:dyDescent="0.2">
      <c r="A11" s="1">
        <v>61431</v>
      </c>
      <c r="B11" s="1" t="s">
        <v>46</v>
      </c>
      <c r="C11" s="16">
        <v>1515</v>
      </c>
      <c r="D11" s="16">
        <v>190104041570</v>
      </c>
      <c r="E11" s="23">
        <v>125481215.55775578</v>
      </c>
      <c r="F11" s="13">
        <v>0</v>
      </c>
      <c r="G11" s="13">
        <v>18171198000</v>
      </c>
      <c r="H11" s="1" t="s">
        <v>48</v>
      </c>
    </row>
    <row r="12" spans="1:8" x14ac:dyDescent="0.2">
      <c r="A12" s="1">
        <v>61436</v>
      </c>
      <c r="B12" s="1" t="s">
        <v>49</v>
      </c>
      <c r="C12" s="16">
        <v>1515</v>
      </c>
      <c r="D12" s="16">
        <v>181770058559</v>
      </c>
      <c r="E12" s="23">
        <v>119980236.67260724</v>
      </c>
      <c r="F12" s="13">
        <v>0</v>
      </c>
      <c r="G12" s="13">
        <v>31583424000</v>
      </c>
      <c r="H12" s="1" t="s">
        <v>51</v>
      </c>
    </row>
    <row r="13" spans="1:8" x14ac:dyDescent="0.2">
      <c r="A13" s="1">
        <v>61441</v>
      </c>
      <c r="B13" s="1" t="s">
        <v>52</v>
      </c>
      <c r="C13" s="16">
        <v>1515</v>
      </c>
      <c r="D13" s="16">
        <v>371874100129</v>
      </c>
      <c r="E13" s="23">
        <v>245461452.23036304</v>
      </c>
      <c r="F13" s="13">
        <v>0</v>
      </c>
      <c r="G13" s="13">
        <v>49754622000</v>
      </c>
      <c r="H13" s="1" t="s">
        <v>54</v>
      </c>
    </row>
    <row r="14" spans="1:8" x14ac:dyDescent="0.2">
      <c r="A14" s="1">
        <v>61446</v>
      </c>
      <c r="B14" s="1" t="s">
        <v>55</v>
      </c>
      <c r="C14" s="16">
        <v>1515</v>
      </c>
      <c r="D14" s="16">
        <v>454643479932</v>
      </c>
      <c r="E14" s="23">
        <v>300094706.22574258</v>
      </c>
      <c r="F14" s="13">
        <v>0</v>
      </c>
      <c r="G14" s="13">
        <v>59863320000</v>
      </c>
      <c r="H14" s="1" t="s">
        <v>57</v>
      </c>
    </row>
    <row r="15" spans="1:8" x14ac:dyDescent="0.2">
      <c r="A15" s="1">
        <v>61474</v>
      </c>
      <c r="B15" s="1" t="s">
        <v>430</v>
      </c>
      <c r="C15" s="16">
        <v>1515</v>
      </c>
      <c r="D15" s="16">
        <v>14942557147</v>
      </c>
      <c r="E15" s="23">
        <v>9863074.0244224444</v>
      </c>
      <c r="F15" s="13">
        <v>0</v>
      </c>
      <c r="G15" s="13">
        <v>6284370000</v>
      </c>
      <c r="H15" s="1" t="s">
        <v>432</v>
      </c>
    </row>
    <row r="16" spans="1:8" x14ac:dyDescent="0.2">
      <c r="A16" s="1">
        <v>61451</v>
      </c>
      <c r="B16" s="1" t="s">
        <v>58</v>
      </c>
      <c r="C16" s="16">
        <v>1515</v>
      </c>
      <c r="D16" s="16">
        <v>226099959514</v>
      </c>
      <c r="E16" s="23">
        <v>149240897.36897683</v>
      </c>
      <c r="F16" s="13">
        <v>-2786452550</v>
      </c>
      <c r="G16" s="13">
        <v>13342824000</v>
      </c>
      <c r="H16" s="1" t="s">
        <v>60</v>
      </c>
    </row>
    <row r="17" spans="1:8" x14ac:dyDescent="0.2">
      <c r="A17" s="1">
        <v>61456</v>
      </c>
      <c r="B17" s="1" t="s">
        <v>61</v>
      </c>
      <c r="C17" s="16">
        <v>1515</v>
      </c>
      <c r="D17" s="16">
        <v>68433895857</v>
      </c>
      <c r="E17" s="23">
        <v>45170888.354455449</v>
      </c>
      <c r="F17" s="13">
        <v>-35960163</v>
      </c>
      <c r="G17" s="13">
        <v>11157669006</v>
      </c>
      <c r="H17" s="1" t="s">
        <v>63</v>
      </c>
    </row>
    <row r="18" spans="1:8" x14ac:dyDescent="0.2">
      <c r="A18" s="1">
        <v>61461</v>
      </c>
      <c r="B18" s="1" t="s">
        <v>64</v>
      </c>
      <c r="C18" s="16">
        <v>1515</v>
      </c>
      <c r="D18" s="16">
        <v>50284996557</v>
      </c>
      <c r="E18" s="23">
        <v>33191416.869306933</v>
      </c>
      <c r="F18" s="13">
        <v>0</v>
      </c>
      <c r="G18" s="13">
        <v>22636275955</v>
      </c>
      <c r="H18" s="1" t="s">
        <v>66</v>
      </c>
    </row>
    <row r="19" spans="1:8" x14ac:dyDescent="0.2">
      <c r="A19" s="1">
        <v>61466</v>
      </c>
      <c r="B19" s="1" t="s">
        <v>67</v>
      </c>
      <c r="C19" s="16">
        <v>1515</v>
      </c>
      <c r="D19" s="16">
        <v>-19594486409</v>
      </c>
      <c r="E19" s="23">
        <v>-12933654.39537954</v>
      </c>
      <c r="F19" s="13">
        <v>-19606774000</v>
      </c>
      <c r="G19" s="13">
        <v>2998837000</v>
      </c>
      <c r="H19" s="1" t="s">
        <v>69</v>
      </c>
    </row>
    <row r="20" spans="1:8" x14ac:dyDescent="0.2">
      <c r="A20" s="1">
        <v>61471</v>
      </c>
      <c r="B20" s="1" t="s">
        <v>70</v>
      </c>
      <c r="C20" s="16">
        <v>1515</v>
      </c>
      <c r="D20" s="16">
        <v>325224365519</v>
      </c>
      <c r="E20" s="23">
        <v>214669548.19735977</v>
      </c>
      <c r="F20" s="13">
        <v>-3009326771</v>
      </c>
      <c r="G20" s="13">
        <v>27591251489</v>
      </c>
      <c r="H20" s="1" t="s">
        <v>433</v>
      </c>
    </row>
    <row r="21" spans="1:8" x14ac:dyDescent="0.2">
      <c r="A21" s="1">
        <v>61491</v>
      </c>
      <c r="B21" s="1" t="s">
        <v>72</v>
      </c>
      <c r="C21" s="16">
        <v>1515</v>
      </c>
      <c r="D21" s="16">
        <v>27281295351</v>
      </c>
      <c r="E21" s="23">
        <v>18007455.677227721</v>
      </c>
      <c r="F21" s="13">
        <v>0</v>
      </c>
      <c r="G21" s="13">
        <v>1162911000</v>
      </c>
      <c r="H21" s="1" t="s">
        <v>74</v>
      </c>
    </row>
    <row r="22" spans="1:8" x14ac:dyDescent="0.2">
      <c r="A22" s="1">
        <v>61511</v>
      </c>
      <c r="B22" s="1" t="s">
        <v>75</v>
      </c>
      <c r="C22" s="16">
        <v>1515</v>
      </c>
      <c r="D22" s="16">
        <v>27166516934</v>
      </c>
      <c r="E22" s="23">
        <v>17931694.345874589</v>
      </c>
      <c r="F22" s="13">
        <v>0</v>
      </c>
      <c r="G22" s="13">
        <v>1003689416</v>
      </c>
      <c r="H22" s="1" t="s">
        <v>77</v>
      </c>
    </row>
    <row r="23" spans="1:8" x14ac:dyDescent="0.2">
      <c r="A23" s="1">
        <v>61531</v>
      </c>
      <c r="B23" s="1" t="s">
        <v>78</v>
      </c>
      <c r="C23" s="16">
        <v>1515</v>
      </c>
      <c r="D23" s="16">
        <v>465961572303</v>
      </c>
      <c r="E23" s="23">
        <v>307565394.25940597</v>
      </c>
      <c r="F23" s="13">
        <v>0</v>
      </c>
      <c r="G23" s="13">
        <v>38025323000</v>
      </c>
      <c r="H23" s="1" t="s">
        <v>80</v>
      </c>
    </row>
    <row r="24" spans="1:8" x14ac:dyDescent="0.2">
      <c r="A24" s="1">
        <v>65006</v>
      </c>
      <c r="B24" s="1" t="s">
        <v>81</v>
      </c>
      <c r="C24" s="16">
        <v>1515</v>
      </c>
      <c r="D24" s="16">
        <v>100047236982</v>
      </c>
      <c r="E24" s="23">
        <v>66037780.186138622</v>
      </c>
      <c r="F24" s="13">
        <v>0</v>
      </c>
      <c r="G24" s="13">
        <v>11203457000</v>
      </c>
      <c r="H24" s="1" t="s">
        <v>83</v>
      </c>
    </row>
    <row r="25" spans="1:8" x14ac:dyDescent="0.2">
      <c r="A25" s="1">
        <v>61611</v>
      </c>
      <c r="B25" s="1" t="s">
        <v>84</v>
      </c>
      <c r="C25" s="16">
        <v>1515</v>
      </c>
      <c r="D25" s="16">
        <v>36042105768</v>
      </c>
      <c r="E25" s="23">
        <v>23790168.823762376</v>
      </c>
      <c r="F25" s="13">
        <v>0</v>
      </c>
      <c r="G25" s="13">
        <v>2520150000</v>
      </c>
      <c r="H25" s="1" t="s">
        <v>86</v>
      </c>
    </row>
    <row r="26" spans="1:8" x14ac:dyDescent="0.2">
      <c r="A26" s="1">
        <v>61615</v>
      </c>
      <c r="B26" s="1" t="s">
        <v>87</v>
      </c>
      <c r="C26" s="16">
        <v>1515</v>
      </c>
      <c r="D26" s="16">
        <v>656498727338</v>
      </c>
      <c r="E26" s="23">
        <v>433332493.2924093</v>
      </c>
      <c r="F26" s="13">
        <v>0</v>
      </c>
      <c r="G26" s="13">
        <v>53606701000</v>
      </c>
      <c r="H26" s="1" t="s">
        <v>89</v>
      </c>
    </row>
    <row r="27" spans="1:8" x14ac:dyDescent="0.2">
      <c r="A27" s="1">
        <v>61631</v>
      </c>
      <c r="B27" s="1" t="s">
        <v>90</v>
      </c>
      <c r="C27" s="16">
        <v>1515</v>
      </c>
      <c r="D27" s="16">
        <v>269290459536</v>
      </c>
      <c r="E27" s="23">
        <v>177749478.24158421</v>
      </c>
      <c r="F27" s="13">
        <v>0</v>
      </c>
      <c r="G27" s="13">
        <v>23955218000</v>
      </c>
      <c r="H27" s="1" t="s">
        <v>92</v>
      </c>
    </row>
    <row r="28" spans="1:8" x14ac:dyDescent="0.2">
      <c r="A28" s="1">
        <v>65011</v>
      </c>
      <c r="B28" s="1" t="s">
        <v>93</v>
      </c>
      <c r="C28" s="16">
        <v>1515</v>
      </c>
      <c r="D28" s="16">
        <v>1618722585</v>
      </c>
      <c r="E28" s="23">
        <v>1068463.7524752475</v>
      </c>
      <c r="F28" s="13">
        <v>0</v>
      </c>
      <c r="G28" s="13">
        <v>245756772</v>
      </c>
      <c r="H28" s="1" t="s">
        <v>95</v>
      </c>
    </row>
    <row r="29" spans="1:8" x14ac:dyDescent="0.2">
      <c r="A29" s="1">
        <v>65016</v>
      </c>
      <c r="B29" s="1" t="s">
        <v>96</v>
      </c>
      <c r="C29" s="16">
        <v>1515</v>
      </c>
      <c r="D29" s="16">
        <v>2730047088</v>
      </c>
      <c r="E29" s="23">
        <v>1802011.2792079211</v>
      </c>
      <c r="F29" s="13">
        <v>0</v>
      </c>
      <c r="G29" s="13">
        <v>279406670</v>
      </c>
      <c r="H29" s="1" t="s">
        <v>98</v>
      </c>
    </row>
    <row r="30" spans="1:8" x14ac:dyDescent="0.2">
      <c r="A30" s="1">
        <v>62281</v>
      </c>
      <c r="B30" s="1" t="s">
        <v>256</v>
      </c>
      <c r="C30" s="16">
        <v>1515</v>
      </c>
      <c r="D30" s="16">
        <v>376582903022</v>
      </c>
      <c r="E30" s="23">
        <v>248569572.95181519</v>
      </c>
      <c r="F30" s="13">
        <v>2104563</v>
      </c>
      <c r="G30" s="13">
        <v>36263079000</v>
      </c>
      <c r="H30" s="1" t="s">
        <v>258</v>
      </c>
    </row>
    <row r="31" spans="1:8" x14ac:dyDescent="0.2">
      <c r="A31" s="1">
        <v>62286</v>
      </c>
      <c r="B31" s="1" t="s">
        <v>259</v>
      </c>
      <c r="C31" s="16">
        <v>1515</v>
      </c>
      <c r="D31" s="16">
        <v>359002849894</v>
      </c>
      <c r="E31" s="23">
        <v>236965577.48778877</v>
      </c>
      <c r="F31" s="13">
        <v>1674174</v>
      </c>
      <c r="G31" s="13">
        <v>35198195694</v>
      </c>
      <c r="H31" s="1" t="s">
        <v>261</v>
      </c>
    </row>
    <row r="32" spans="1:8" x14ac:dyDescent="0.2">
      <c r="A32" s="1">
        <v>62291</v>
      </c>
      <c r="B32" s="1" t="s">
        <v>262</v>
      </c>
      <c r="C32" s="16">
        <v>1515</v>
      </c>
      <c r="D32" s="16">
        <v>17580053128</v>
      </c>
      <c r="E32" s="23">
        <v>11603995.464026405</v>
      </c>
      <c r="F32" s="13">
        <v>-336288174</v>
      </c>
      <c r="G32" s="13">
        <v>2164395466</v>
      </c>
      <c r="H32" s="1" t="s">
        <v>264</v>
      </c>
    </row>
    <row r="33" spans="1:8" x14ac:dyDescent="0.2">
      <c r="A33" s="1">
        <v>62296</v>
      </c>
      <c r="B33" s="1" t="s">
        <v>265</v>
      </c>
      <c r="C33" s="16">
        <v>1515</v>
      </c>
      <c r="D33" s="16">
        <v>317809955106</v>
      </c>
      <c r="E33" s="23">
        <v>209775547.92475247</v>
      </c>
      <c r="F33" s="13">
        <v>-2673038597</v>
      </c>
      <c r="G33" s="13">
        <v>25426856023</v>
      </c>
      <c r="H33" s="1" t="s">
        <v>267</v>
      </c>
    </row>
    <row r="34" spans="1:8" x14ac:dyDescent="0.2">
      <c r="A34" s="1">
        <v>62301</v>
      </c>
      <c r="B34" s="1" t="s">
        <v>268</v>
      </c>
      <c r="C34" s="16">
        <v>1515</v>
      </c>
      <c r="D34" s="16">
        <v>-10165642715</v>
      </c>
      <c r="E34" s="23">
        <v>-6709995.1914191423</v>
      </c>
      <c r="F34" s="13">
        <v>-8150056000</v>
      </c>
      <c r="G34" s="13">
        <v>66715754</v>
      </c>
      <c r="H34" s="1" t="s">
        <v>270</v>
      </c>
    </row>
    <row r="35" spans="1:8" x14ac:dyDescent="0.2">
      <c r="A35" s="1">
        <v>62306</v>
      </c>
      <c r="B35" s="1" t="s">
        <v>271</v>
      </c>
      <c r="C35" s="21">
        <v>1515</v>
      </c>
      <c r="D35" s="21">
        <v>325224365519</v>
      </c>
      <c r="E35" s="24">
        <v>214669548.19735977</v>
      </c>
      <c r="F35" s="16">
        <v>-3009326771</v>
      </c>
      <c r="G35" s="19">
        <v>27591251489</v>
      </c>
      <c r="H35" s="1" t="s">
        <v>273</v>
      </c>
    </row>
    <row r="36" spans="1:8" x14ac:dyDescent="0.2">
      <c r="A36" s="1">
        <v>61636</v>
      </c>
      <c r="B36" s="1" t="s">
        <v>99</v>
      </c>
      <c r="C36" s="21">
        <v>1978</v>
      </c>
      <c r="D36" s="21">
        <v>75937979425</v>
      </c>
      <c r="E36" s="24">
        <v>38391293.945904963</v>
      </c>
      <c r="F36" s="16">
        <v>0</v>
      </c>
      <c r="G36" s="19">
        <v>1250828000</v>
      </c>
      <c r="H36" s="1" t="s">
        <v>101</v>
      </c>
    </row>
    <row r="37" spans="1:8" x14ac:dyDescent="0.2">
      <c r="A37" s="1">
        <v>61641</v>
      </c>
      <c r="B37" s="1" t="s">
        <v>102</v>
      </c>
      <c r="C37" s="21">
        <v>1978</v>
      </c>
      <c r="D37" s="21">
        <v>27041434778</v>
      </c>
      <c r="E37" s="24">
        <v>13671099.483316481</v>
      </c>
      <c r="F37" s="16">
        <v>0</v>
      </c>
      <c r="G37" s="19">
        <v>1025318457</v>
      </c>
      <c r="H37" s="1" t="s">
        <v>104</v>
      </c>
    </row>
    <row r="38" spans="1:8" x14ac:dyDescent="0.2">
      <c r="A38" s="1">
        <v>61646</v>
      </c>
      <c r="B38" s="1" t="s">
        <v>105</v>
      </c>
      <c r="C38" s="21">
        <v>1978</v>
      </c>
      <c r="D38" s="21">
        <v>7904437455</v>
      </c>
      <c r="E38" s="24">
        <v>3996176.6708796751</v>
      </c>
      <c r="F38" s="16">
        <v>0</v>
      </c>
      <c r="G38" s="19">
        <v>131982000</v>
      </c>
      <c r="H38" s="1" t="s">
        <v>107</v>
      </c>
    </row>
    <row r="39" spans="1:8" x14ac:dyDescent="0.2">
      <c r="A39" s="1">
        <v>61651</v>
      </c>
      <c r="B39" s="1" t="s">
        <v>108</v>
      </c>
      <c r="C39" s="16">
        <v>1978</v>
      </c>
      <c r="D39" s="16">
        <v>13489976355</v>
      </c>
      <c r="E39" s="23">
        <v>6820008.2684529843</v>
      </c>
      <c r="F39" s="13">
        <v>0</v>
      </c>
      <c r="G39" s="13">
        <v>797697000</v>
      </c>
      <c r="H39" s="1" t="s">
        <v>110</v>
      </c>
    </row>
    <row r="40" spans="1:8" x14ac:dyDescent="0.2">
      <c r="A40" s="1">
        <v>65021</v>
      </c>
      <c r="B40" s="1" t="s">
        <v>111</v>
      </c>
      <c r="C40" s="16">
        <v>1978</v>
      </c>
      <c r="D40" s="16">
        <v>2191968548</v>
      </c>
      <c r="E40" s="23">
        <v>1108174.1900910011</v>
      </c>
      <c r="F40" s="13">
        <v>0</v>
      </c>
      <c r="G40" s="13">
        <v>386724142</v>
      </c>
      <c r="H40" s="1" t="s">
        <v>113</v>
      </c>
    </row>
    <row r="41" spans="1:8" x14ac:dyDescent="0.2">
      <c r="A41" s="1">
        <v>65026</v>
      </c>
      <c r="B41" s="1" t="s">
        <v>114</v>
      </c>
      <c r="C41" s="16">
        <v>1978</v>
      </c>
      <c r="D41" s="16">
        <v>11298007807</v>
      </c>
      <c r="E41" s="23">
        <v>5711834.0783619797</v>
      </c>
      <c r="F41" s="13">
        <v>0</v>
      </c>
      <c r="G41" s="13">
        <v>791676000</v>
      </c>
      <c r="H41" s="1" t="s">
        <v>116</v>
      </c>
    </row>
    <row r="42" spans="1:8" x14ac:dyDescent="0.2">
      <c r="A42" s="1">
        <v>61656</v>
      </c>
      <c r="B42" s="1" t="s">
        <v>117</v>
      </c>
      <c r="C42" s="16">
        <v>1657</v>
      </c>
      <c r="D42" s="16">
        <v>27552246818</v>
      </c>
      <c r="E42" s="23">
        <v>16627789.268557638</v>
      </c>
      <c r="F42" s="13">
        <v>0</v>
      </c>
      <c r="G42" s="13">
        <v>829847851</v>
      </c>
      <c r="H42" s="1" t="s">
        <v>119</v>
      </c>
    </row>
    <row r="43" spans="1:8" x14ac:dyDescent="0.2">
      <c r="A43" s="1">
        <v>61661</v>
      </c>
      <c r="B43" s="1" t="s">
        <v>120</v>
      </c>
      <c r="C43" s="16">
        <v>718</v>
      </c>
      <c r="D43" s="16">
        <v>46237613534</v>
      </c>
      <c r="E43" s="23">
        <v>64397790.437325902</v>
      </c>
      <c r="F43" s="13">
        <v>0</v>
      </c>
      <c r="G43" s="13">
        <v>4200081000</v>
      </c>
      <c r="H43" s="1" t="s">
        <v>122</v>
      </c>
    </row>
    <row r="44" spans="1:8" x14ac:dyDescent="0.2">
      <c r="A44" s="1">
        <v>65031</v>
      </c>
      <c r="B44" s="1" t="s">
        <v>123</v>
      </c>
      <c r="C44" s="16">
        <v>1978</v>
      </c>
      <c r="D44" s="16">
        <v>10247558433</v>
      </c>
      <c r="E44" s="23">
        <v>5180767.6607684521</v>
      </c>
      <c r="F44" s="13">
        <v>0</v>
      </c>
      <c r="G44" s="13">
        <v>1548596000</v>
      </c>
      <c r="H44" s="1" t="s">
        <v>125</v>
      </c>
    </row>
    <row r="45" spans="1:8" x14ac:dyDescent="0.2">
      <c r="A45" s="1">
        <v>61666</v>
      </c>
      <c r="B45" s="1" t="s">
        <v>126</v>
      </c>
      <c r="C45" s="16">
        <v>718</v>
      </c>
      <c r="D45" s="16">
        <v>1596234847</v>
      </c>
      <c r="E45" s="23">
        <v>2223168.3105849577</v>
      </c>
      <c r="F45" s="13">
        <v>0</v>
      </c>
      <c r="G45" s="13">
        <v>622865000</v>
      </c>
      <c r="H45" s="1" t="s">
        <v>128</v>
      </c>
    </row>
    <row r="46" spans="1:8" x14ac:dyDescent="0.2">
      <c r="A46" s="1">
        <v>61671</v>
      </c>
      <c r="B46" s="1" t="s">
        <v>129</v>
      </c>
      <c r="C46" s="16">
        <v>1978</v>
      </c>
      <c r="D46" s="16">
        <v>10580984950</v>
      </c>
      <c r="E46" s="23">
        <v>5349335.161779575</v>
      </c>
      <c r="F46" s="13">
        <v>0</v>
      </c>
      <c r="G46" s="13">
        <v>1355962000</v>
      </c>
      <c r="H46" s="1" t="s">
        <v>131</v>
      </c>
    </row>
    <row r="47" spans="1:8" x14ac:dyDescent="0.2">
      <c r="A47" s="1">
        <v>61676</v>
      </c>
      <c r="B47" s="1" t="s">
        <v>132</v>
      </c>
      <c r="C47" s="16">
        <v>1978</v>
      </c>
      <c r="D47" s="16">
        <v>220588466595</v>
      </c>
      <c r="E47" s="23">
        <v>111520963.90040444</v>
      </c>
      <c r="F47" s="13">
        <v>0</v>
      </c>
      <c r="G47" s="13">
        <v>6882808000</v>
      </c>
      <c r="H47" s="1" t="s">
        <v>134</v>
      </c>
    </row>
    <row r="48" spans="1:8" x14ac:dyDescent="0.2">
      <c r="A48" s="1">
        <v>61681</v>
      </c>
      <c r="B48" s="1" t="s">
        <v>135</v>
      </c>
      <c r="C48" s="16">
        <v>1978</v>
      </c>
      <c r="D48" s="16">
        <v>1916595939</v>
      </c>
      <c r="E48" s="23">
        <v>968956.49089989893</v>
      </c>
      <c r="F48" s="13">
        <v>0</v>
      </c>
      <c r="G48" s="13">
        <v>615028551</v>
      </c>
      <c r="H48" s="1" t="s">
        <v>137</v>
      </c>
    </row>
    <row r="49" spans="1:8" x14ac:dyDescent="0.2">
      <c r="A49" s="1">
        <v>61686</v>
      </c>
      <c r="B49" s="1" t="s">
        <v>138</v>
      </c>
      <c r="C49" s="16">
        <v>1978</v>
      </c>
      <c r="D49" s="16">
        <v>69245307950</v>
      </c>
      <c r="E49" s="23">
        <v>35007739.105156727</v>
      </c>
      <c r="F49" s="13">
        <v>0</v>
      </c>
      <c r="G49" s="13">
        <v>707072000</v>
      </c>
      <c r="H49" s="1" t="s">
        <v>140</v>
      </c>
    </row>
    <row r="50" spans="1:8" x14ac:dyDescent="0.2">
      <c r="A50" s="1">
        <v>61691</v>
      </c>
      <c r="B50" s="1" t="s">
        <v>141</v>
      </c>
      <c r="C50" s="16">
        <v>1978</v>
      </c>
      <c r="D50" s="16">
        <v>13325491440</v>
      </c>
      <c r="E50" s="23">
        <v>6736851.0819009105</v>
      </c>
      <c r="F50" s="13">
        <v>0</v>
      </c>
      <c r="G50" s="13">
        <v>291942618</v>
      </c>
      <c r="H50" s="1" t="s">
        <v>143</v>
      </c>
    </row>
    <row r="51" spans="1:8" x14ac:dyDescent="0.2">
      <c r="A51" s="1">
        <v>61696</v>
      </c>
      <c r="B51" s="1" t="s">
        <v>144</v>
      </c>
      <c r="C51" s="16">
        <v>1978</v>
      </c>
      <c r="D51" s="16">
        <v>20113063601</v>
      </c>
      <c r="E51" s="23">
        <v>10168384.024772499</v>
      </c>
      <c r="F51" s="13">
        <v>0</v>
      </c>
      <c r="G51" s="13">
        <v>158295000</v>
      </c>
      <c r="H51" s="1" t="s">
        <v>146</v>
      </c>
    </row>
    <row r="52" spans="1:8" x14ac:dyDescent="0.2">
      <c r="A52" s="1">
        <v>61701</v>
      </c>
      <c r="B52" s="1" t="s">
        <v>147</v>
      </c>
      <c r="C52" s="16">
        <v>1978</v>
      </c>
      <c r="D52" s="16">
        <v>5197872485</v>
      </c>
      <c r="E52" s="23">
        <v>2627842.510111223</v>
      </c>
      <c r="F52" s="13">
        <v>0</v>
      </c>
      <c r="G52" s="13">
        <v>129371779</v>
      </c>
      <c r="H52" s="1" t="s">
        <v>149</v>
      </c>
    </row>
    <row r="53" spans="1:8" x14ac:dyDescent="0.2">
      <c r="A53" s="1">
        <v>61706</v>
      </c>
      <c r="B53" s="1" t="s">
        <v>150</v>
      </c>
      <c r="C53" s="16">
        <v>1978</v>
      </c>
      <c r="D53" s="16">
        <v>433981658</v>
      </c>
      <c r="E53" s="23">
        <v>219404.27603640035</v>
      </c>
      <c r="F53" s="13">
        <v>0</v>
      </c>
      <c r="G53" s="13">
        <v>52858272</v>
      </c>
      <c r="H53" s="1" t="s">
        <v>152</v>
      </c>
    </row>
    <row r="54" spans="1:8" x14ac:dyDescent="0.2">
      <c r="A54" s="1">
        <v>61711</v>
      </c>
      <c r="B54" s="1" t="s">
        <v>153</v>
      </c>
      <c r="C54" s="16">
        <v>1978</v>
      </c>
      <c r="D54" s="16">
        <v>7931169879</v>
      </c>
      <c r="E54" s="23">
        <v>4009691.5465116254</v>
      </c>
      <c r="F54" s="13">
        <v>-5717938</v>
      </c>
      <c r="G54" s="13">
        <v>339024707</v>
      </c>
      <c r="H54" s="1" t="s">
        <v>155</v>
      </c>
    </row>
    <row r="55" spans="1:8" x14ac:dyDescent="0.2">
      <c r="A55" s="1">
        <v>61716</v>
      </c>
      <c r="B55" s="1" t="s">
        <v>156</v>
      </c>
      <c r="C55" s="16">
        <v>1978</v>
      </c>
      <c r="D55" s="16">
        <v>13784326470</v>
      </c>
      <c r="E55" s="23">
        <v>6968820.2578362003</v>
      </c>
      <c r="F55" s="13">
        <v>-231272000</v>
      </c>
      <c r="G55" s="13">
        <v>3506788843</v>
      </c>
      <c r="H55" s="1" t="s">
        <v>158</v>
      </c>
    </row>
    <row r="56" spans="1:8" x14ac:dyDescent="0.2">
      <c r="A56" s="1">
        <v>61821</v>
      </c>
      <c r="B56" s="1" t="s">
        <v>159</v>
      </c>
      <c r="C56" s="16">
        <v>1978</v>
      </c>
      <c r="D56" s="16">
        <v>8023497936</v>
      </c>
      <c r="E56" s="23">
        <v>4056369.0273003038</v>
      </c>
      <c r="F56" s="13">
        <v>0</v>
      </c>
      <c r="G56" s="13">
        <v>1697086000</v>
      </c>
      <c r="H56" s="1" t="s">
        <v>161</v>
      </c>
    </row>
    <row r="57" spans="1:8" x14ac:dyDescent="0.2">
      <c r="A57" s="1">
        <v>61826</v>
      </c>
      <c r="B57" s="1" t="s">
        <v>162</v>
      </c>
      <c r="C57" s="16">
        <v>1978</v>
      </c>
      <c r="D57" s="16">
        <v>139971307358</v>
      </c>
      <c r="E57" s="23">
        <v>70764058.32052578</v>
      </c>
      <c r="F57" s="13">
        <v>0</v>
      </c>
      <c r="G57" s="13">
        <v>3544977516</v>
      </c>
      <c r="H57" s="1" t="s">
        <v>164</v>
      </c>
    </row>
    <row r="58" spans="1:8" x14ac:dyDescent="0.2">
      <c r="A58" s="1">
        <v>65033</v>
      </c>
      <c r="B58" s="1" t="s">
        <v>165</v>
      </c>
      <c r="C58" s="16">
        <v>1978</v>
      </c>
      <c r="D58" s="16">
        <v>360559773953</v>
      </c>
      <c r="E58" s="23">
        <v>182285022.22093019</v>
      </c>
      <c r="F58" s="13">
        <v>0</v>
      </c>
      <c r="G58" s="13">
        <v>8793177000</v>
      </c>
      <c r="H58" s="1" t="s">
        <v>167</v>
      </c>
    </row>
    <row r="59" spans="1:8" x14ac:dyDescent="0.2">
      <c r="A59" s="1">
        <v>61831</v>
      </c>
      <c r="B59" s="1" t="s">
        <v>168</v>
      </c>
      <c r="C59" s="16">
        <v>1657</v>
      </c>
      <c r="D59" s="16">
        <v>6575703657</v>
      </c>
      <c r="E59" s="23">
        <v>3968439.1412190702</v>
      </c>
      <c r="F59" s="13">
        <v>-5095126</v>
      </c>
      <c r="G59" s="13">
        <v>325055000</v>
      </c>
      <c r="H59" s="1" t="s">
        <v>170</v>
      </c>
    </row>
    <row r="60" spans="1:8" x14ac:dyDescent="0.2">
      <c r="A60" s="1">
        <v>61836</v>
      </c>
      <c r="B60" s="1" t="s">
        <v>171</v>
      </c>
      <c r="C60" s="16">
        <v>1657</v>
      </c>
      <c r="D60" s="16">
        <v>3665778001</v>
      </c>
      <c r="E60" s="23">
        <v>2212298.1297525647</v>
      </c>
      <c r="F60" s="13">
        <v>-3164611</v>
      </c>
      <c r="G60" s="13">
        <v>123599667</v>
      </c>
      <c r="H60" s="1" t="s">
        <v>173</v>
      </c>
    </row>
    <row r="61" spans="1:8" x14ac:dyDescent="0.2">
      <c r="A61" s="1">
        <v>61841</v>
      </c>
      <c r="B61" s="1" t="s">
        <v>174</v>
      </c>
      <c r="C61" s="16">
        <v>1657</v>
      </c>
      <c r="D61" s="16">
        <v>1189595155</v>
      </c>
      <c r="E61" s="23">
        <v>717921.0350030174</v>
      </c>
      <c r="F61" s="13">
        <v>-23400</v>
      </c>
      <c r="G61" s="13">
        <v>158125877</v>
      </c>
      <c r="H61" s="1" t="s">
        <v>176</v>
      </c>
    </row>
    <row r="62" spans="1:8" x14ac:dyDescent="0.2">
      <c r="A62" s="1">
        <v>61846</v>
      </c>
      <c r="B62" s="1" t="s">
        <v>177</v>
      </c>
      <c r="C62" s="16">
        <v>1657</v>
      </c>
      <c r="D62" s="16">
        <v>8227358819</v>
      </c>
      <c r="E62" s="23">
        <v>4965213.5298732659</v>
      </c>
      <c r="F62" s="13">
        <v>-3399513</v>
      </c>
      <c r="G62" s="13">
        <v>1929998848</v>
      </c>
      <c r="H62" s="1" t="s">
        <v>179</v>
      </c>
    </row>
    <row r="63" spans="1:8" x14ac:dyDescent="0.2">
      <c r="A63" s="1">
        <v>61851</v>
      </c>
      <c r="B63" s="1" t="s">
        <v>180</v>
      </c>
      <c r="C63" s="16">
        <v>1978</v>
      </c>
      <c r="D63" s="16">
        <v>19693507935</v>
      </c>
      <c r="E63" s="23">
        <v>9956272.9701718912</v>
      </c>
      <c r="F63" s="13">
        <v>-5059584</v>
      </c>
      <c r="G63" s="13">
        <v>2088124725</v>
      </c>
      <c r="H63" s="1" t="s">
        <v>182</v>
      </c>
    </row>
    <row r="64" spans="1:8" x14ac:dyDescent="0.2">
      <c r="A64" s="1">
        <v>61856</v>
      </c>
      <c r="B64" s="1" t="s">
        <v>183</v>
      </c>
      <c r="C64" s="16">
        <v>1978</v>
      </c>
      <c r="D64" s="16">
        <v>380253281888</v>
      </c>
      <c r="E64" s="23">
        <v>192241295.19110215</v>
      </c>
      <c r="F64" s="13">
        <v>0</v>
      </c>
      <c r="G64" s="13">
        <v>8981662000</v>
      </c>
      <c r="H64" s="1" t="s">
        <v>185</v>
      </c>
    </row>
    <row r="65" spans="1:8" x14ac:dyDescent="0.2">
      <c r="A65" s="1">
        <v>61861</v>
      </c>
      <c r="B65" s="1" t="s">
        <v>186</v>
      </c>
      <c r="C65" s="16">
        <v>1978</v>
      </c>
      <c r="D65" s="16">
        <v>110233552764</v>
      </c>
      <c r="E65" s="23">
        <v>55729804.228513665</v>
      </c>
      <c r="F65" s="13">
        <v>0</v>
      </c>
      <c r="G65" s="13">
        <v>2245090004</v>
      </c>
      <c r="H65" s="1" t="s">
        <v>188</v>
      </c>
    </row>
    <row r="66" spans="1:8" x14ac:dyDescent="0.2">
      <c r="A66" s="1">
        <v>61866</v>
      </c>
      <c r="B66" s="1" t="s">
        <v>189</v>
      </c>
      <c r="C66" s="16">
        <v>1978</v>
      </c>
      <c r="D66" s="16">
        <v>63068217957</v>
      </c>
      <c r="E66" s="23">
        <v>31884842.243174925</v>
      </c>
      <c r="F66" s="13">
        <v>0</v>
      </c>
      <c r="G66" s="13">
        <v>1364297385</v>
      </c>
      <c r="H66" s="1" t="s">
        <v>191</v>
      </c>
    </row>
    <row r="67" spans="1:8" x14ac:dyDescent="0.2">
      <c r="A67" s="1">
        <v>61886</v>
      </c>
      <c r="B67" s="1" t="s">
        <v>192</v>
      </c>
      <c r="C67" s="16">
        <v>1978</v>
      </c>
      <c r="D67" s="16">
        <v>35607002747</v>
      </c>
      <c r="E67" s="23">
        <v>18001518.072295252</v>
      </c>
      <c r="F67" s="13">
        <v>0</v>
      </c>
      <c r="G67" s="13">
        <v>1157929909</v>
      </c>
      <c r="H67" s="1" t="s">
        <v>194</v>
      </c>
    </row>
    <row r="68" spans="1:8" x14ac:dyDescent="0.2">
      <c r="A68" s="1">
        <v>61891</v>
      </c>
      <c r="B68" s="1" t="s">
        <v>195</v>
      </c>
      <c r="C68" s="16">
        <v>1978</v>
      </c>
      <c r="D68" s="16">
        <v>15462740034</v>
      </c>
      <c r="E68" s="23">
        <v>7817360.9878665311</v>
      </c>
      <c r="F68" s="13">
        <v>0</v>
      </c>
      <c r="G68" s="13">
        <v>558098727</v>
      </c>
      <c r="H68" s="1" t="s">
        <v>197</v>
      </c>
    </row>
    <row r="69" spans="1:8" x14ac:dyDescent="0.2">
      <c r="A69" s="1">
        <v>61911</v>
      </c>
      <c r="B69" s="1" t="s">
        <v>198</v>
      </c>
      <c r="C69" s="16">
        <v>1978</v>
      </c>
      <c r="D69" s="16">
        <v>15409866033</v>
      </c>
      <c r="E69" s="23">
        <v>7790629.9459049515</v>
      </c>
      <c r="F69" s="13">
        <v>0</v>
      </c>
      <c r="G69" s="13">
        <v>807399000</v>
      </c>
      <c r="H69" s="1" t="s">
        <v>200</v>
      </c>
    </row>
    <row r="70" spans="1:8" x14ac:dyDescent="0.2">
      <c r="A70" s="1">
        <v>61916</v>
      </c>
      <c r="B70" s="1" t="s">
        <v>201</v>
      </c>
      <c r="C70" s="16">
        <v>1978</v>
      </c>
      <c r="D70" s="16">
        <v>6991007777</v>
      </c>
      <c r="E70" s="23">
        <v>3534382.091506572</v>
      </c>
      <c r="F70" s="13">
        <v>0</v>
      </c>
      <c r="G70" s="13">
        <v>533136000</v>
      </c>
      <c r="H70" s="1" t="s">
        <v>203</v>
      </c>
    </row>
    <row r="71" spans="1:8" x14ac:dyDescent="0.2">
      <c r="A71" s="1">
        <v>61936</v>
      </c>
      <c r="B71" s="1" t="s">
        <v>204</v>
      </c>
      <c r="C71" s="16">
        <v>1978</v>
      </c>
      <c r="D71" s="16">
        <v>30426320720</v>
      </c>
      <c r="E71" s="23">
        <v>15382366.390293222</v>
      </c>
      <c r="F71" s="13">
        <v>0</v>
      </c>
      <c r="G71" s="13">
        <v>765903216</v>
      </c>
      <c r="H71" s="1" t="s">
        <v>206</v>
      </c>
    </row>
    <row r="72" spans="1:8" x14ac:dyDescent="0.2">
      <c r="A72" s="1">
        <v>61941</v>
      </c>
      <c r="B72" s="1" t="s">
        <v>207</v>
      </c>
      <c r="C72" s="16">
        <v>1978</v>
      </c>
      <c r="D72" s="16">
        <v>14096018087</v>
      </c>
      <c r="E72" s="23">
        <v>7126399.4373104144</v>
      </c>
      <c r="F72" s="13">
        <v>0</v>
      </c>
      <c r="G72" s="13">
        <v>351593736</v>
      </c>
      <c r="H72" s="1" t="s">
        <v>209</v>
      </c>
    </row>
    <row r="73" spans="1:8" x14ac:dyDescent="0.2">
      <c r="A73" s="1">
        <v>61961</v>
      </c>
      <c r="B73" s="1" t="s">
        <v>210</v>
      </c>
      <c r="C73" s="16">
        <v>1978</v>
      </c>
      <c r="D73" s="16">
        <v>20881285720</v>
      </c>
      <c r="E73" s="23">
        <v>10556767.300303338</v>
      </c>
      <c r="F73" s="13">
        <v>0</v>
      </c>
      <c r="G73" s="13">
        <v>236284242</v>
      </c>
      <c r="H73" s="1" t="s">
        <v>212</v>
      </c>
    </row>
    <row r="74" spans="1:8" x14ac:dyDescent="0.2">
      <c r="A74" s="1">
        <v>61966</v>
      </c>
      <c r="B74" s="1" t="s">
        <v>213</v>
      </c>
      <c r="C74" s="16">
        <v>1978</v>
      </c>
      <c r="D74" s="16">
        <v>9683319244</v>
      </c>
      <c r="E74" s="23">
        <v>4895510.2345803836</v>
      </c>
      <c r="F74" s="13">
        <v>0</v>
      </c>
      <c r="G74" s="13">
        <v>103548141</v>
      </c>
      <c r="H74" s="1" t="s">
        <v>215</v>
      </c>
    </row>
    <row r="75" spans="1:8" x14ac:dyDescent="0.2">
      <c r="A75" s="1">
        <v>61986</v>
      </c>
      <c r="B75" s="1" t="s">
        <v>216</v>
      </c>
      <c r="C75" s="16">
        <v>1978</v>
      </c>
      <c r="D75" s="16">
        <v>35603859253</v>
      </c>
      <c r="E75" s="23">
        <v>17999928.843781594</v>
      </c>
      <c r="F75" s="13">
        <v>0</v>
      </c>
      <c r="G75" s="13">
        <v>1330533919</v>
      </c>
      <c r="H75" s="1" t="s">
        <v>218</v>
      </c>
    </row>
    <row r="76" spans="1:8" x14ac:dyDescent="0.2">
      <c r="A76" s="1">
        <v>61991</v>
      </c>
      <c r="B76" s="1" t="s">
        <v>219</v>
      </c>
      <c r="C76" s="16">
        <v>1978</v>
      </c>
      <c r="D76" s="16">
        <v>15292505410</v>
      </c>
      <c r="E76" s="23">
        <v>7731296.9716885742</v>
      </c>
      <c r="F76" s="13">
        <v>0</v>
      </c>
      <c r="G76" s="13">
        <v>208048159</v>
      </c>
      <c r="H76" s="1" t="s">
        <v>221</v>
      </c>
    </row>
    <row r="77" spans="1:8" x14ac:dyDescent="0.2">
      <c r="A77" s="1">
        <v>62046</v>
      </c>
      <c r="B77" s="1" t="s">
        <v>222</v>
      </c>
      <c r="C77" s="16">
        <v>1978</v>
      </c>
      <c r="D77" s="16">
        <v>15628493209</v>
      </c>
      <c r="E77" s="23">
        <v>7901159.3574317489</v>
      </c>
      <c r="F77" s="13">
        <v>-369142</v>
      </c>
      <c r="G77" s="13">
        <v>207954452</v>
      </c>
      <c r="H77" s="1" t="s">
        <v>224</v>
      </c>
    </row>
    <row r="78" spans="1:8" x14ac:dyDescent="0.2">
      <c r="A78" s="1">
        <v>62071</v>
      </c>
      <c r="B78" s="1" t="s">
        <v>225</v>
      </c>
      <c r="C78" s="16">
        <v>1657</v>
      </c>
      <c r="D78" s="16">
        <v>32353718100</v>
      </c>
      <c r="E78" s="23">
        <v>19525478.636089321</v>
      </c>
      <c r="F78" s="13">
        <v>0</v>
      </c>
      <c r="G78" s="13">
        <v>882540264</v>
      </c>
      <c r="H78" s="1" t="s">
        <v>227</v>
      </c>
    </row>
    <row r="79" spans="1:8" x14ac:dyDescent="0.2">
      <c r="A79" s="1">
        <v>62076</v>
      </c>
      <c r="B79" s="1" t="s">
        <v>228</v>
      </c>
      <c r="C79" s="16">
        <v>1657</v>
      </c>
      <c r="D79" s="16">
        <v>8784316298</v>
      </c>
      <c r="E79" s="23">
        <v>5301337.5365117686</v>
      </c>
      <c r="F79" s="13">
        <v>0</v>
      </c>
      <c r="G79" s="13">
        <v>323558258</v>
      </c>
      <c r="H79" s="1" t="s">
        <v>230</v>
      </c>
    </row>
    <row r="80" spans="1:8" x14ac:dyDescent="0.2">
      <c r="A80" s="1">
        <v>62096</v>
      </c>
      <c r="B80" s="1" t="s">
        <v>231</v>
      </c>
      <c r="C80" s="16">
        <v>718</v>
      </c>
      <c r="D80" s="16">
        <v>45254078692</v>
      </c>
      <c r="E80" s="23">
        <v>63027964.752089113</v>
      </c>
      <c r="F80" s="13">
        <v>0</v>
      </c>
      <c r="G80" s="13">
        <v>4074752000</v>
      </c>
      <c r="H80" s="1" t="s">
        <v>233</v>
      </c>
    </row>
    <row r="81" spans="1:8" x14ac:dyDescent="0.2">
      <c r="A81" s="1">
        <v>62101</v>
      </c>
      <c r="B81" s="1" t="s">
        <v>234</v>
      </c>
      <c r="C81" s="16">
        <v>718</v>
      </c>
      <c r="D81" s="16">
        <v>18688047266</v>
      </c>
      <c r="E81" s="23">
        <v>26027920.983286913</v>
      </c>
      <c r="F81" s="13">
        <v>0</v>
      </c>
      <c r="G81" s="13">
        <v>2010814000</v>
      </c>
      <c r="H81" s="1" t="s">
        <v>236</v>
      </c>
    </row>
    <row r="82" spans="1:8" x14ac:dyDescent="0.2">
      <c r="A82" s="1">
        <v>62121</v>
      </c>
      <c r="B82" s="1" t="s">
        <v>237</v>
      </c>
      <c r="C82" s="16">
        <v>718</v>
      </c>
      <c r="D82" s="16">
        <v>1681319662</v>
      </c>
      <c r="E82" s="23">
        <v>2341670.8384401114</v>
      </c>
      <c r="F82" s="13">
        <v>0</v>
      </c>
      <c r="G82" s="13">
        <v>554813000</v>
      </c>
      <c r="H82" s="1" t="s">
        <v>239</v>
      </c>
    </row>
    <row r="83" spans="1:8" x14ac:dyDescent="0.2">
      <c r="A83" s="1">
        <v>62126</v>
      </c>
      <c r="B83" s="1" t="s">
        <v>240</v>
      </c>
      <c r="C83" s="16">
        <v>718</v>
      </c>
      <c r="D83" s="16">
        <v>590339664</v>
      </c>
      <c r="E83" s="23">
        <v>822200.08913649025</v>
      </c>
      <c r="F83" s="13">
        <v>0</v>
      </c>
      <c r="G83" s="13">
        <v>272829000</v>
      </c>
      <c r="H83" s="1" t="s">
        <v>242</v>
      </c>
    </row>
    <row r="84" spans="1:8" x14ac:dyDescent="0.2">
      <c r="A84" s="1">
        <v>62146</v>
      </c>
      <c r="B84" s="1" t="s">
        <v>243</v>
      </c>
      <c r="C84" s="16">
        <v>1978</v>
      </c>
      <c r="D84" s="16">
        <v>19262767867</v>
      </c>
      <c r="E84" s="23">
        <v>9738507.516177956</v>
      </c>
      <c r="F84" s="13">
        <v>-107183637</v>
      </c>
      <c r="G84" s="13">
        <v>2228557888</v>
      </c>
      <c r="H84" s="1" t="s">
        <v>245</v>
      </c>
    </row>
    <row r="85" spans="1:8" x14ac:dyDescent="0.2">
      <c r="A85" s="1">
        <v>62151</v>
      </c>
      <c r="B85" s="1" t="s">
        <v>246</v>
      </c>
      <c r="C85" s="16">
        <v>1978</v>
      </c>
      <c r="D85" s="16">
        <v>1161223343</v>
      </c>
      <c r="E85" s="23">
        <v>587069.43528817</v>
      </c>
      <c r="F85" s="13">
        <v>-1</v>
      </c>
      <c r="G85" s="13">
        <v>51794412</v>
      </c>
      <c r="H85" s="1" t="s">
        <v>248</v>
      </c>
    </row>
    <row r="86" spans="1:8" x14ac:dyDescent="0.2">
      <c r="A86" s="1">
        <v>62256</v>
      </c>
      <c r="B86" s="1" t="s">
        <v>249</v>
      </c>
      <c r="C86" s="16">
        <v>1978</v>
      </c>
      <c r="D86" s="16">
        <v>362342264767</v>
      </c>
      <c r="E86" s="23">
        <v>183186180.36754301</v>
      </c>
      <c r="F86" s="13">
        <v>0</v>
      </c>
      <c r="G86" s="13">
        <v>7724609000</v>
      </c>
      <c r="H86" s="1" t="s">
        <v>434</v>
      </c>
    </row>
    <row r="87" spans="1:8" x14ac:dyDescent="0.2">
      <c r="A87" s="1">
        <v>62261</v>
      </c>
      <c r="B87" s="1" t="s">
        <v>251</v>
      </c>
      <c r="C87" s="16">
        <v>1978</v>
      </c>
      <c r="D87" s="16">
        <v>153817735080</v>
      </c>
      <c r="E87" s="23">
        <v>77764274.560161754</v>
      </c>
      <c r="F87" s="13">
        <v>0</v>
      </c>
      <c r="G87" s="13">
        <v>3561217208</v>
      </c>
      <c r="H87" s="1" t="s">
        <v>435</v>
      </c>
    </row>
    <row r="88" spans="1:8" x14ac:dyDescent="0.2">
      <c r="A88" s="1">
        <v>62266</v>
      </c>
      <c r="B88" s="1" t="s">
        <v>253</v>
      </c>
      <c r="C88" s="16">
        <v>1978</v>
      </c>
      <c r="D88" s="16">
        <v>59258955226</v>
      </c>
      <c r="E88" s="23">
        <v>29959026.908998989</v>
      </c>
      <c r="F88" s="13">
        <v>-52193339</v>
      </c>
      <c r="G88" s="13">
        <v>1237661544</v>
      </c>
      <c r="H88" s="1" t="s">
        <v>436</v>
      </c>
    </row>
    <row r="89" spans="1:8" x14ac:dyDescent="0.2">
      <c r="A89" s="1">
        <v>62268</v>
      </c>
      <c r="B89" s="1" t="s">
        <v>437</v>
      </c>
      <c r="C89" s="16">
        <v>1978</v>
      </c>
      <c r="D89" s="16">
        <v>21297925667</v>
      </c>
      <c r="E89" s="23">
        <v>10767404.280586451</v>
      </c>
      <c r="F89" s="13">
        <v>-300000</v>
      </c>
      <c r="G89" s="13">
        <v>285928000</v>
      </c>
      <c r="H89" s="1" t="s">
        <v>438</v>
      </c>
    </row>
    <row r="90" spans="1:8" x14ac:dyDescent="0.2">
      <c r="A90" s="1">
        <v>62271</v>
      </c>
      <c r="B90" s="1" t="s">
        <v>439</v>
      </c>
      <c r="C90" s="16">
        <v>1978</v>
      </c>
      <c r="D90" s="16">
        <v>20850283129</v>
      </c>
      <c r="E90" s="23">
        <v>10541093.594034376</v>
      </c>
      <c r="F90" s="13">
        <v>0</v>
      </c>
      <c r="G90" s="13">
        <v>517128000</v>
      </c>
      <c r="H90" s="1" t="s">
        <v>440</v>
      </c>
    </row>
    <row r="91" spans="1:8" x14ac:dyDescent="0.2">
      <c r="A91" s="1">
        <v>65088</v>
      </c>
      <c r="B91" s="1" t="s">
        <v>441</v>
      </c>
      <c r="C91" s="16">
        <v>1978</v>
      </c>
      <c r="D91" s="16">
        <v>7087897568</v>
      </c>
      <c r="E91" s="23">
        <v>3583365.8078867542</v>
      </c>
      <c r="F91" s="13">
        <v>-22666</v>
      </c>
      <c r="G91" s="13">
        <v>262205410</v>
      </c>
      <c r="H91" s="1" t="s">
        <v>255</v>
      </c>
    </row>
    <row r="92" spans="1:8" x14ac:dyDescent="0.2">
      <c r="A92" s="1">
        <v>62276</v>
      </c>
      <c r="B92" s="1" t="s">
        <v>442</v>
      </c>
      <c r="C92" s="16">
        <v>1978</v>
      </c>
      <c r="D92" s="16">
        <v>100029468097</v>
      </c>
      <c r="E92" s="23">
        <v>50571015.215874627</v>
      </c>
      <c r="F92" s="13">
        <v>-8707000</v>
      </c>
      <c r="G92" s="13">
        <v>2868531867</v>
      </c>
      <c r="H92" s="1" t="s">
        <v>443</v>
      </c>
    </row>
    <row r="93" spans="1:8" x14ac:dyDescent="0.2">
      <c r="A93" s="1">
        <v>67056</v>
      </c>
      <c r="B93" s="1" t="s">
        <v>411</v>
      </c>
      <c r="C93" s="16">
        <v>1411</v>
      </c>
      <c r="D93" s="16">
        <v>10334165717</v>
      </c>
      <c r="E93" s="23">
        <v>7324001.2168674702</v>
      </c>
      <c r="F93" s="13">
        <v>-106214344</v>
      </c>
      <c r="G93" s="13">
        <v>415536961</v>
      </c>
      <c r="H93" s="1" t="s">
        <v>444</v>
      </c>
    </row>
    <row r="94" spans="1:8" x14ac:dyDescent="0.2">
      <c r="A94" s="1">
        <v>67061</v>
      </c>
      <c r="B94" s="1" t="s">
        <v>413</v>
      </c>
      <c r="C94" s="16">
        <v>1411</v>
      </c>
      <c r="D94" s="16">
        <v>98437509891</v>
      </c>
      <c r="E94" s="23">
        <v>69764358.533664063</v>
      </c>
      <c r="F94" s="13">
        <v>-135921496</v>
      </c>
      <c r="G94" s="13">
        <v>3565361961</v>
      </c>
      <c r="H94" s="1" t="s">
        <v>445</v>
      </c>
    </row>
    <row r="95" spans="1:8" x14ac:dyDescent="0.2">
      <c r="A95" s="1">
        <v>67066</v>
      </c>
      <c r="B95" s="1" t="s">
        <v>415</v>
      </c>
      <c r="C95" s="16">
        <v>1411</v>
      </c>
      <c r="D95" s="16">
        <v>5174932453</v>
      </c>
      <c r="E95" s="23">
        <v>3667563.7512402544</v>
      </c>
      <c r="F95" s="13">
        <v>-4740488</v>
      </c>
      <c r="G95" s="13">
        <v>420293776</v>
      </c>
      <c r="H95" s="1" t="s">
        <v>417</v>
      </c>
    </row>
    <row r="96" spans="1:8" x14ac:dyDescent="0.2">
      <c r="A96" s="1">
        <v>67071</v>
      </c>
      <c r="B96" s="1" t="s">
        <v>418</v>
      </c>
      <c r="C96" s="16">
        <v>1411</v>
      </c>
      <c r="D96" s="16">
        <v>28503813539</v>
      </c>
      <c r="E96" s="23">
        <v>20201143.542877391</v>
      </c>
      <c r="F96" s="13">
        <v>-144426323</v>
      </c>
      <c r="G96" s="13">
        <v>1181081781</v>
      </c>
      <c r="H96" s="1" t="s">
        <v>420</v>
      </c>
    </row>
    <row r="97" spans="1:8" x14ac:dyDescent="0.2">
      <c r="A97" s="1">
        <v>62321</v>
      </c>
      <c r="B97" s="1" t="s">
        <v>274</v>
      </c>
      <c r="C97" s="16">
        <v>1914</v>
      </c>
      <c r="D97" s="16">
        <v>18302126049</v>
      </c>
      <c r="E97" s="23">
        <v>9562239.3150470238</v>
      </c>
      <c r="F97" s="13">
        <v>0</v>
      </c>
      <c r="G97" s="13">
        <v>124044962</v>
      </c>
      <c r="H97" s="1" t="s">
        <v>276</v>
      </c>
    </row>
    <row r="98" spans="1:8" x14ac:dyDescent="0.2">
      <c r="A98" s="1">
        <v>62326</v>
      </c>
      <c r="B98" s="1" t="s">
        <v>277</v>
      </c>
      <c r="C98" s="16">
        <v>1914</v>
      </c>
      <c r="D98" s="16">
        <v>1333306718</v>
      </c>
      <c r="E98" s="23">
        <v>696607.4806687563</v>
      </c>
      <c r="F98" s="13">
        <v>0</v>
      </c>
      <c r="G98" s="13">
        <v>73172000</v>
      </c>
      <c r="H98" s="1" t="s">
        <v>279</v>
      </c>
    </row>
    <row r="99" spans="1:8" x14ac:dyDescent="0.2">
      <c r="A99" s="1">
        <v>62331</v>
      </c>
      <c r="B99" s="1" t="s">
        <v>280</v>
      </c>
      <c r="C99" s="16">
        <v>1914</v>
      </c>
      <c r="D99" s="16">
        <v>7153446143</v>
      </c>
      <c r="E99" s="23">
        <v>3737432.6765935207</v>
      </c>
      <c r="F99" s="13">
        <v>0</v>
      </c>
      <c r="G99" s="13">
        <v>337505857</v>
      </c>
      <c r="H99" s="1" t="s">
        <v>282</v>
      </c>
    </row>
    <row r="100" spans="1:8" x14ac:dyDescent="0.2">
      <c r="A100" s="1">
        <v>62336</v>
      </c>
      <c r="B100" s="1" t="s">
        <v>283</v>
      </c>
      <c r="C100" s="16">
        <v>1914</v>
      </c>
      <c r="D100" s="16">
        <v>175087605</v>
      </c>
      <c r="E100" s="23">
        <v>91477.327586206899</v>
      </c>
      <c r="F100" s="13">
        <v>0</v>
      </c>
      <c r="G100" s="13">
        <v>29069751</v>
      </c>
      <c r="H100" s="1" t="s">
        <v>285</v>
      </c>
    </row>
    <row r="101" spans="1:8" x14ac:dyDescent="0.2">
      <c r="A101" s="1">
        <v>62341</v>
      </c>
      <c r="B101" s="1" t="s">
        <v>286</v>
      </c>
      <c r="C101" s="16">
        <v>1914</v>
      </c>
      <c r="D101" s="16">
        <v>3622717119</v>
      </c>
      <c r="E101" s="23">
        <v>1892746.6661442004</v>
      </c>
      <c r="F101" s="13">
        <v>0</v>
      </c>
      <c r="G101" s="13">
        <v>137352812</v>
      </c>
      <c r="H101" s="1" t="s">
        <v>288</v>
      </c>
    </row>
    <row r="102" spans="1:8" x14ac:dyDescent="0.2">
      <c r="A102" s="1">
        <v>62346</v>
      </c>
      <c r="B102" s="1" t="s">
        <v>289</v>
      </c>
      <c r="C102" s="16">
        <v>1914</v>
      </c>
      <c r="D102" s="16">
        <v>14606333819</v>
      </c>
      <c r="E102" s="23">
        <v>7631313.3850574717</v>
      </c>
      <c r="F102" s="13">
        <v>0</v>
      </c>
      <c r="G102" s="13">
        <v>371374000</v>
      </c>
      <c r="H102" s="1" t="s">
        <v>291</v>
      </c>
    </row>
    <row r="103" spans="1:8" x14ac:dyDescent="0.2">
      <c r="A103" s="1">
        <v>62351</v>
      </c>
      <c r="B103" s="1" t="s">
        <v>292</v>
      </c>
      <c r="C103" s="16">
        <v>1914</v>
      </c>
      <c r="D103" s="16">
        <v>45193017453</v>
      </c>
      <c r="E103" s="23">
        <v>23611816.851097181</v>
      </c>
      <c r="F103" s="13">
        <v>0</v>
      </c>
      <c r="G103" s="13">
        <v>537113000</v>
      </c>
      <c r="H103" s="1" t="s">
        <v>294</v>
      </c>
    </row>
    <row r="104" spans="1:8" x14ac:dyDescent="0.2">
      <c r="A104" s="1">
        <v>62356</v>
      </c>
      <c r="B104" s="1" t="s">
        <v>295</v>
      </c>
      <c r="C104" s="16">
        <v>1914</v>
      </c>
      <c r="D104" s="16">
        <v>27315695193</v>
      </c>
      <c r="E104" s="23">
        <v>14271523.089341696</v>
      </c>
      <c r="F104" s="13">
        <v>0</v>
      </c>
      <c r="G104" s="13">
        <v>334623000</v>
      </c>
      <c r="H104" s="1" t="s">
        <v>297</v>
      </c>
    </row>
    <row r="105" spans="1:8" x14ac:dyDescent="0.2">
      <c r="A105" s="1">
        <v>62361</v>
      </c>
      <c r="B105" s="1" t="s">
        <v>298</v>
      </c>
      <c r="C105" s="16">
        <v>1914</v>
      </c>
      <c r="D105" s="16">
        <v>2325568267</v>
      </c>
      <c r="E105" s="23">
        <v>1215030.4425287356</v>
      </c>
      <c r="F105" s="13">
        <v>0</v>
      </c>
      <c r="G105" s="13">
        <v>41020488</v>
      </c>
      <c r="H105" s="1" t="s">
        <v>300</v>
      </c>
    </row>
    <row r="106" spans="1:8" x14ac:dyDescent="0.2">
      <c r="A106" s="1">
        <v>62366</v>
      </c>
      <c r="B106" s="1" t="s">
        <v>301</v>
      </c>
      <c r="C106" s="16">
        <v>1914</v>
      </c>
      <c r="D106" s="16">
        <v>29641263460</v>
      </c>
      <c r="E106" s="23">
        <v>15486553.531870427</v>
      </c>
      <c r="F106" s="13">
        <v>0</v>
      </c>
      <c r="G106" s="13">
        <v>355135000</v>
      </c>
      <c r="H106" s="1" t="s">
        <v>303</v>
      </c>
    </row>
    <row r="107" spans="1:8" x14ac:dyDescent="0.2">
      <c r="A107" s="1">
        <v>62371</v>
      </c>
      <c r="B107" s="1" t="s">
        <v>304</v>
      </c>
      <c r="C107" s="16">
        <v>1914</v>
      </c>
      <c r="D107" s="16">
        <v>15551753993</v>
      </c>
      <c r="E107" s="23">
        <v>8125263.3192267502</v>
      </c>
      <c r="F107" s="13">
        <v>0</v>
      </c>
      <c r="G107" s="13">
        <v>207954452</v>
      </c>
      <c r="H107" s="1" t="s">
        <v>306</v>
      </c>
    </row>
    <row r="108" spans="1:8" x14ac:dyDescent="0.2">
      <c r="A108" s="1">
        <v>62311</v>
      </c>
      <c r="B108" s="1" t="s">
        <v>309</v>
      </c>
      <c r="C108" s="16">
        <v>1297</v>
      </c>
      <c r="D108" s="16">
        <v>164812713421</v>
      </c>
      <c r="E108" s="23">
        <v>127072253.98689283</v>
      </c>
      <c r="F108" s="13">
        <v>3</v>
      </c>
      <c r="G108" s="13">
        <v>23861770561</v>
      </c>
      <c r="H108" s="1" t="s">
        <v>311</v>
      </c>
    </row>
    <row r="109" spans="1:8" x14ac:dyDescent="0.2">
      <c r="A109" s="1">
        <v>62316</v>
      </c>
      <c r="B109" s="1" t="s">
        <v>312</v>
      </c>
      <c r="C109" s="16">
        <v>1297</v>
      </c>
      <c r="D109" s="16">
        <v>182891385925</v>
      </c>
      <c r="E109" s="23">
        <v>141011091.69236699</v>
      </c>
      <c r="F109" s="13">
        <v>0</v>
      </c>
      <c r="G109" s="13">
        <v>25947841897</v>
      </c>
      <c r="H109" s="1" t="s">
        <v>314</v>
      </c>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57"/>
  <sheetViews>
    <sheetView workbookViewId="0">
      <pane ySplit="1" topLeftCell="A2" activePane="bottomLeft" state="frozen"/>
      <selection pane="bottomLeft"/>
    </sheetView>
  </sheetViews>
  <sheetFormatPr defaultRowHeight="12.75" x14ac:dyDescent="0.2"/>
  <cols>
    <col min="1" max="1" width="9.28515625" style="1" customWidth="1"/>
    <col min="2" max="2" width="14.5703125" style="1" customWidth="1"/>
    <col min="3" max="3" width="9.140625" style="1"/>
    <col min="4" max="4" width="57" style="14" customWidth="1"/>
    <col min="5" max="5" width="10.28515625" style="13" bestFit="1" customWidth="1"/>
    <col min="6" max="16384" width="9.140625" style="1"/>
  </cols>
  <sheetData>
    <row r="1" spans="1:6" s="7" customFormat="1" x14ac:dyDescent="0.2">
      <c r="A1" s="7" t="s">
        <v>11</v>
      </c>
      <c r="B1" s="7" t="s">
        <v>12</v>
      </c>
      <c r="C1" s="7" t="s">
        <v>331</v>
      </c>
      <c r="D1" s="12" t="s">
        <v>332</v>
      </c>
      <c r="E1" s="13" t="s">
        <v>333</v>
      </c>
      <c r="F1" s="7" t="s">
        <v>334</v>
      </c>
    </row>
    <row r="2" spans="1:6" x14ac:dyDescent="0.2">
      <c r="A2" s="1">
        <v>67051</v>
      </c>
      <c r="B2" s="1" t="s">
        <v>410</v>
      </c>
      <c r="C2" s="1" t="s">
        <v>335</v>
      </c>
      <c r="D2" s="14" t="s">
        <v>426</v>
      </c>
      <c r="E2" s="13">
        <v>1422</v>
      </c>
      <c r="F2" s="1">
        <v>71.89</v>
      </c>
    </row>
    <row r="3" spans="1:6" x14ac:dyDescent="0.2">
      <c r="A3" s="1">
        <v>67051</v>
      </c>
      <c r="B3" s="1" t="s">
        <v>410</v>
      </c>
      <c r="C3" s="1" t="s">
        <v>337</v>
      </c>
      <c r="D3" s="14" t="s">
        <v>338</v>
      </c>
      <c r="E3" s="13">
        <v>556</v>
      </c>
      <c r="F3" s="1">
        <v>28.11</v>
      </c>
    </row>
    <row r="4" spans="1:6" x14ac:dyDescent="0.2">
      <c r="A4" s="1">
        <v>62376</v>
      </c>
      <c r="B4" s="1" t="s">
        <v>307</v>
      </c>
      <c r="C4" s="1" t="s">
        <v>335</v>
      </c>
      <c r="D4" s="14" t="s">
        <v>336</v>
      </c>
      <c r="E4" s="13">
        <v>1298</v>
      </c>
      <c r="F4" s="1">
        <v>65.62</v>
      </c>
    </row>
    <row r="5" spans="1:6" x14ac:dyDescent="0.2">
      <c r="A5" s="1">
        <v>62376</v>
      </c>
      <c r="B5" s="1" t="s">
        <v>307</v>
      </c>
      <c r="C5" s="1" t="s">
        <v>337</v>
      </c>
      <c r="D5" s="15" t="s">
        <v>338</v>
      </c>
      <c r="E5" s="13">
        <v>359</v>
      </c>
      <c r="F5" s="1">
        <v>18.149999999999999</v>
      </c>
    </row>
    <row r="6" spans="1:6" x14ac:dyDescent="0.2">
      <c r="A6" s="1">
        <v>62376</v>
      </c>
      <c r="B6" s="1" t="s">
        <v>307</v>
      </c>
      <c r="C6" s="1" t="s">
        <v>339</v>
      </c>
      <c r="D6" s="14" t="s">
        <v>349</v>
      </c>
      <c r="E6" s="13">
        <v>321</v>
      </c>
      <c r="F6" s="1">
        <v>16.23</v>
      </c>
    </row>
    <row r="16" spans="1:6" x14ac:dyDescent="0.2">
      <c r="D16" s="1"/>
    </row>
    <row r="17" s="1" customFormat="1" x14ac:dyDescent="0.2"/>
    <row r="18" s="1" customFormat="1" x14ac:dyDescent="0.2"/>
    <row r="19" s="1" customFormat="1" x14ac:dyDescent="0.2"/>
    <row r="20" s="1" customFormat="1" x14ac:dyDescent="0.2"/>
    <row r="21" s="1" customFormat="1" x14ac:dyDescent="0.2"/>
    <row r="22" s="1" customFormat="1" x14ac:dyDescent="0.2"/>
    <row r="23" s="1" customFormat="1" x14ac:dyDescent="0.2"/>
    <row r="24" s="1" customFormat="1" x14ac:dyDescent="0.2"/>
    <row r="25" s="1" customFormat="1" x14ac:dyDescent="0.2"/>
    <row r="26" s="1" customFormat="1" x14ac:dyDescent="0.2"/>
    <row r="27" s="1" customFormat="1" x14ac:dyDescent="0.2"/>
    <row r="28" s="1" customFormat="1" x14ac:dyDescent="0.2"/>
    <row r="29" s="1" customFormat="1" x14ac:dyDescent="0.2"/>
    <row r="30" s="1" customFormat="1" x14ac:dyDescent="0.2"/>
    <row r="31" s="1" customFormat="1" x14ac:dyDescent="0.2"/>
    <row r="32" s="1" customFormat="1" x14ac:dyDescent="0.2"/>
    <row r="33" s="1" customFormat="1" x14ac:dyDescent="0.2"/>
    <row r="34" s="1" customFormat="1" x14ac:dyDescent="0.2"/>
    <row r="35" s="1" customFormat="1" x14ac:dyDescent="0.2"/>
    <row r="36" s="1" customFormat="1" x14ac:dyDescent="0.2"/>
    <row r="37" s="1" customFormat="1" x14ac:dyDescent="0.2"/>
    <row r="38" s="1" customFormat="1" x14ac:dyDescent="0.2"/>
    <row r="39" s="1" customFormat="1" x14ac:dyDescent="0.2"/>
    <row r="40" s="1" customFormat="1" x14ac:dyDescent="0.2"/>
    <row r="41" s="1" customFormat="1" x14ac:dyDescent="0.2"/>
    <row r="42" s="1" customFormat="1" x14ac:dyDescent="0.2"/>
    <row r="43" s="1" customFormat="1" x14ac:dyDescent="0.2"/>
    <row r="44" s="1" customFormat="1" x14ac:dyDescent="0.2"/>
    <row r="45" s="1" customFormat="1" x14ac:dyDescent="0.2"/>
    <row r="46" s="1" customFormat="1" x14ac:dyDescent="0.2"/>
    <row r="47" s="1" customFormat="1" x14ac:dyDescent="0.2"/>
    <row r="48" s="1" customFormat="1" x14ac:dyDescent="0.2"/>
    <row r="49" s="1" customFormat="1" x14ac:dyDescent="0.2"/>
    <row r="50" s="1" customFormat="1" x14ac:dyDescent="0.2"/>
    <row r="51" s="1" customFormat="1" x14ac:dyDescent="0.2"/>
    <row r="52" s="1" customFormat="1" x14ac:dyDescent="0.2"/>
    <row r="53" s="1" customFormat="1" x14ac:dyDescent="0.2"/>
    <row r="54" s="1" customFormat="1" x14ac:dyDescent="0.2"/>
    <row r="55" s="1" customFormat="1" x14ac:dyDescent="0.2"/>
    <row r="56" s="1" customFormat="1" x14ac:dyDescent="0.2"/>
    <row r="57" s="1" customFormat="1" x14ac:dyDescent="0.2"/>
    <row r="58" s="1" customFormat="1" x14ac:dyDescent="0.2"/>
    <row r="59" s="1" customFormat="1" x14ac:dyDescent="0.2"/>
    <row r="60" s="1" customFormat="1" x14ac:dyDescent="0.2"/>
    <row r="61" s="1" customFormat="1" x14ac:dyDescent="0.2"/>
    <row r="62" s="1" customFormat="1" x14ac:dyDescent="0.2"/>
    <row r="63" s="1" customFormat="1" x14ac:dyDescent="0.2"/>
    <row r="64" s="1" customFormat="1" x14ac:dyDescent="0.2"/>
    <row r="65" spans="4:5" x14ac:dyDescent="0.2">
      <c r="D65" s="1"/>
      <c r="E65" s="1"/>
    </row>
    <row r="66" spans="4:5" x14ac:dyDescent="0.2">
      <c r="D66" s="1"/>
      <c r="E66" s="1"/>
    </row>
    <row r="67" spans="4:5" x14ac:dyDescent="0.2">
      <c r="D67" s="1"/>
      <c r="E67" s="1"/>
    </row>
    <row r="68" spans="4:5" x14ac:dyDescent="0.2">
      <c r="D68" s="1"/>
      <c r="E68" s="1"/>
    </row>
    <row r="69" spans="4:5" x14ac:dyDescent="0.2">
      <c r="D69" s="1"/>
      <c r="E69" s="1"/>
    </row>
    <row r="70" spans="4:5" x14ac:dyDescent="0.2">
      <c r="D70" s="1"/>
      <c r="E70" s="1"/>
    </row>
    <row r="71" spans="4:5" x14ac:dyDescent="0.2">
      <c r="D71" s="1"/>
      <c r="E71" s="1"/>
    </row>
    <row r="72" spans="4:5" x14ac:dyDescent="0.2">
      <c r="D72" s="1"/>
      <c r="E72" s="1"/>
    </row>
    <row r="73" spans="4:5" x14ac:dyDescent="0.2">
      <c r="D73" s="1"/>
      <c r="E73" s="1"/>
    </row>
    <row r="74" spans="4:5" x14ac:dyDescent="0.2">
      <c r="D74" s="1"/>
      <c r="E74" s="1"/>
    </row>
    <row r="75" spans="4:5" x14ac:dyDescent="0.2">
      <c r="D75" s="1"/>
      <c r="E75" s="1"/>
    </row>
    <row r="76" spans="4:5" x14ac:dyDescent="0.2">
      <c r="D76" s="1"/>
      <c r="E76" s="1"/>
    </row>
    <row r="77" spans="4:5" x14ac:dyDescent="0.2">
      <c r="D77" s="1"/>
      <c r="E77" s="1"/>
    </row>
    <row r="78" spans="4:5" x14ac:dyDescent="0.2">
      <c r="D78" s="1"/>
      <c r="E78" s="1"/>
    </row>
    <row r="79" spans="4:5" x14ac:dyDescent="0.2">
      <c r="D79" s="1"/>
      <c r="E79" s="1"/>
    </row>
    <row r="80" spans="4:5" x14ac:dyDescent="0.2">
      <c r="D80" s="1"/>
      <c r="E80" s="1"/>
    </row>
    <row r="81" spans="4:5" x14ac:dyDescent="0.2">
      <c r="D81" s="1"/>
      <c r="E81" s="1"/>
    </row>
    <row r="82" spans="4:5" x14ac:dyDescent="0.2">
      <c r="D82" s="1"/>
      <c r="E82" s="1"/>
    </row>
    <row r="83" spans="4:5" x14ac:dyDescent="0.2">
      <c r="D83" s="1"/>
      <c r="E83" s="1"/>
    </row>
    <row r="84" spans="4:5" x14ac:dyDescent="0.2">
      <c r="D84" s="1"/>
      <c r="E84" s="1"/>
    </row>
    <row r="85" spans="4:5" x14ac:dyDescent="0.2">
      <c r="D85" s="1"/>
      <c r="E85" s="1"/>
    </row>
    <row r="86" spans="4:5" x14ac:dyDescent="0.2">
      <c r="D86" s="1"/>
      <c r="E86" s="1"/>
    </row>
    <row r="87" spans="4:5" x14ac:dyDescent="0.2">
      <c r="D87" s="1"/>
      <c r="E87" s="1"/>
    </row>
    <row r="88" spans="4:5" x14ac:dyDescent="0.2">
      <c r="D88" s="1"/>
      <c r="E88" s="1"/>
    </row>
    <row r="89" spans="4:5" x14ac:dyDescent="0.2">
      <c r="D89" s="1"/>
      <c r="E89" s="1"/>
    </row>
    <row r="90" spans="4:5" x14ac:dyDescent="0.2">
      <c r="D90" s="1"/>
      <c r="E90" s="1"/>
    </row>
    <row r="91" spans="4:5" x14ac:dyDescent="0.2">
      <c r="D91" s="1"/>
      <c r="E91" s="1"/>
    </row>
    <row r="92" spans="4:5" x14ac:dyDescent="0.2">
      <c r="D92" s="1"/>
      <c r="E92" s="1"/>
    </row>
    <row r="93" spans="4:5" x14ac:dyDescent="0.2">
      <c r="D93" s="1"/>
      <c r="E93" s="1"/>
    </row>
    <row r="94" spans="4:5" x14ac:dyDescent="0.2">
      <c r="D94" s="1"/>
      <c r="E94" s="1"/>
    </row>
    <row r="95" spans="4:5" x14ac:dyDescent="0.2">
      <c r="D95" s="1"/>
      <c r="E95" s="1"/>
    </row>
    <row r="96" spans="4:5" x14ac:dyDescent="0.2">
      <c r="D96" s="1"/>
      <c r="E96" s="1"/>
    </row>
    <row r="97" spans="4:5" x14ac:dyDescent="0.2">
      <c r="D97" s="1"/>
      <c r="E97" s="1"/>
    </row>
    <row r="98" spans="4:5" x14ac:dyDescent="0.2">
      <c r="D98" s="1"/>
      <c r="E98" s="1"/>
    </row>
    <row r="99" spans="4:5" x14ac:dyDescent="0.2">
      <c r="D99" s="1"/>
      <c r="E99" s="1"/>
    </row>
    <row r="100" spans="4:5" x14ac:dyDescent="0.2">
      <c r="D100" s="1"/>
      <c r="E100" s="1"/>
    </row>
    <row r="101" spans="4:5" x14ac:dyDescent="0.2">
      <c r="D101" s="1"/>
      <c r="E101" s="1"/>
    </row>
    <row r="102" spans="4:5" x14ac:dyDescent="0.2">
      <c r="D102" s="1"/>
      <c r="E102" s="1"/>
    </row>
    <row r="103" spans="4:5" x14ac:dyDescent="0.2">
      <c r="D103" s="1"/>
      <c r="E103" s="1"/>
    </row>
    <row r="104" spans="4:5" x14ac:dyDescent="0.2">
      <c r="D104" s="1"/>
      <c r="E104" s="1"/>
    </row>
    <row r="105" spans="4:5" x14ac:dyDescent="0.2">
      <c r="D105" s="1"/>
      <c r="E105" s="1"/>
    </row>
    <row r="106" spans="4:5" x14ac:dyDescent="0.2">
      <c r="D106" s="1"/>
      <c r="E106" s="1"/>
    </row>
    <row r="107" spans="4:5" x14ac:dyDescent="0.2">
      <c r="D107" s="1"/>
      <c r="E107" s="1"/>
    </row>
    <row r="108" spans="4:5" x14ac:dyDescent="0.2">
      <c r="D108" s="1"/>
      <c r="E108" s="1"/>
    </row>
    <row r="109" spans="4:5" x14ac:dyDescent="0.2">
      <c r="D109" s="1"/>
      <c r="E109" s="1"/>
    </row>
    <row r="110" spans="4:5" x14ac:dyDescent="0.2">
      <c r="D110" s="1"/>
      <c r="E110" s="1"/>
    </row>
    <row r="111" spans="4:5" x14ac:dyDescent="0.2">
      <c r="D111" s="1"/>
      <c r="E111" s="1"/>
    </row>
    <row r="112" spans="4:5" x14ac:dyDescent="0.2">
      <c r="D112" s="1"/>
      <c r="E112" s="1"/>
    </row>
    <row r="113" spans="4:5" x14ac:dyDescent="0.2">
      <c r="D113" s="1"/>
      <c r="E113" s="1"/>
    </row>
    <row r="114" spans="4:5" x14ac:dyDescent="0.2">
      <c r="D114" s="1"/>
      <c r="E114" s="1"/>
    </row>
    <row r="115" spans="4:5" x14ac:dyDescent="0.2">
      <c r="D115" s="1"/>
      <c r="E115" s="1"/>
    </row>
    <row r="116" spans="4:5" x14ac:dyDescent="0.2">
      <c r="D116" s="1"/>
      <c r="E116" s="1"/>
    </row>
    <row r="117" spans="4:5" x14ac:dyDescent="0.2">
      <c r="D117" s="1"/>
      <c r="E117" s="1"/>
    </row>
    <row r="118" spans="4:5" x14ac:dyDescent="0.2">
      <c r="D118" s="1"/>
      <c r="E118" s="1"/>
    </row>
    <row r="119" spans="4:5" x14ac:dyDescent="0.2">
      <c r="D119" s="1"/>
      <c r="E119" s="16"/>
    </row>
    <row r="120" spans="4:5" x14ac:dyDescent="0.2">
      <c r="D120" s="1"/>
      <c r="E120" s="16"/>
    </row>
    <row r="121" spans="4:5" x14ac:dyDescent="0.2">
      <c r="D121" s="1"/>
      <c r="E121" s="16"/>
    </row>
    <row r="122" spans="4:5" x14ac:dyDescent="0.2">
      <c r="D122" s="1"/>
      <c r="E122" s="16"/>
    </row>
    <row r="123" spans="4:5" x14ac:dyDescent="0.2">
      <c r="D123" s="1"/>
      <c r="E123" s="16"/>
    </row>
    <row r="124" spans="4:5" x14ac:dyDescent="0.2">
      <c r="D124" s="1"/>
      <c r="E124" s="16"/>
    </row>
    <row r="125" spans="4:5" x14ac:dyDescent="0.2">
      <c r="D125" s="1"/>
      <c r="E125" s="16"/>
    </row>
    <row r="126" spans="4:5" x14ac:dyDescent="0.2">
      <c r="D126" s="1"/>
      <c r="E126" s="16"/>
    </row>
    <row r="127" spans="4:5" x14ac:dyDescent="0.2">
      <c r="D127" s="1"/>
      <c r="E127" s="16"/>
    </row>
    <row r="128" spans="4:5" x14ac:dyDescent="0.2">
      <c r="E128" s="16"/>
    </row>
    <row r="129" spans="4:5" x14ac:dyDescent="0.2">
      <c r="E129" s="16"/>
    </row>
    <row r="130" spans="4:5" x14ac:dyDescent="0.2">
      <c r="E130" s="16"/>
    </row>
    <row r="131" spans="4:5" x14ac:dyDescent="0.2">
      <c r="E131" s="16"/>
    </row>
    <row r="132" spans="4:5" x14ac:dyDescent="0.2">
      <c r="E132" s="16"/>
    </row>
    <row r="133" spans="4:5" x14ac:dyDescent="0.2">
      <c r="D133" s="15"/>
      <c r="E133" s="16"/>
    </row>
    <row r="134" spans="4:5" x14ac:dyDescent="0.2">
      <c r="E134" s="16"/>
    </row>
    <row r="135" spans="4:5" x14ac:dyDescent="0.2">
      <c r="E135" s="16"/>
    </row>
    <row r="136" spans="4:5" x14ac:dyDescent="0.2">
      <c r="E136" s="16"/>
    </row>
    <row r="137" spans="4:5" x14ac:dyDescent="0.2">
      <c r="D137" s="15"/>
      <c r="E137" s="16"/>
    </row>
    <row r="138" spans="4:5" x14ac:dyDescent="0.2">
      <c r="E138" s="16"/>
    </row>
    <row r="139" spans="4:5" x14ac:dyDescent="0.2">
      <c r="E139" s="16"/>
    </row>
    <row r="140" spans="4:5" x14ac:dyDescent="0.2">
      <c r="E140" s="16"/>
    </row>
    <row r="141" spans="4:5" x14ac:dyDescent="0.2">
      <c r="E141" s="16"/>
    </row>
    <row r="142" spans="4:5" x14ac:dyDescent="0.2">
      <c r="D142" s="15"/>
      <c r="E142" s="16"/>
    </row>
    <row r="143" spans="4:5" x14ac:dyDescent="0.2">
      <c r="E143" s="16"/>
    </row>
    <row r="144" spans="4:5" x14ac:dyDescent="0.2">
      <c r="E144" s="16"/>
    </row>
    <row r="145" spans="4:5" x14ac:dyDescent="0.2">
      <c r="E145" s="16"/>
    </row>
    <row r="146" spans="4:5" x14ac:dyDescent="0.2">
      <c r="E146" s="16"/>
    </row>
    <row r="147" spans="4:5" x14ac:dyDescent="0.2">
      <c r="E147" s="16"/>
    </row>
    <row r="148" spans="4:5" x14ac:dyDescent="0.2">
      <c r="D148" s="15"/>
      <c r="E148" s="16"/>
    </row>
    <row r="149" spans="4:5" x14ac:dyDescent="0.2">
      <c r="E149" s="16"/>
    </row>
    <row r="150" spans="4:5" x14ac:dyDescent="0.2">
      <c r="E150" s="16"/>
    </row>
    <row r="151" spans="4:5" x14ac:dyDescent="0.2">
      <c r="E151" s="16"/>
    </row>
    <row r="152" spans="4:5" x14ac:dyDescent="0.2">
      <c r="E152" s="16"/>
    </row>
    <row r="153" spans="4:5" x14ac:dyDescent="0.2">
      <c r="E153" s="16"/>
    </row>
    <row r="154" spans="4:5" x14ac:dyDescent="0.2">
      <c r="D154" s="15"/>
      <c r="E154" s="16"/>
    </row>
    <row r="155" spans="4:5" x14ac:dyDescent="0.2">
      <c r="E155" s="16"/>
    </row>
    <row r="156" spans="4:5" x14ac:dyDescent="0.2">
      <c r="E156" s="16"/>
    </row>
    <row r="157" spans="4:5" x14ac:dyDescent="0.2">
      <c r="E157" s="16"/>
    </row>
    <row r="158" spans="4:5" x14ac:dyDescent="0.2">
      <c r="E158" s="16"/>
    </row>
    <row r="159" spans="4:5" x14ac:dyDescent="0.2">
      <c r="E159" s="16"/>
    </row>
    <row r="160" spans="4:5" x14ac:dyDescent="0.2">
      <c r="D160" s="15"/>
      <c r="E160" s="16"/>
    </row>
    <row r="161" spans="4:5" x14ac:dyDescent="0.2">
      <c r="E161" s="16"/>
    </row>
    <row r="162" spans="4:5" x14ac:dyDescent="0.2">
      <c r="E162" s="16"/>
    </row>
    <row r="163" spans="4:5" x14ac:dyDescent="0.2">
      <c r="E163" s="16"/>
    </row>
    <row r="164" spans="4:5" x14ac:dyDescent="0.2">
      <c r="E164" s="16"/>
    </row>
    <row r="165" spans="4:5" x14ac:dyDescent="0.2">
      <c r="E165" s="16"/>
    </row>
    <row r="166" spans="4:5" x14ac:dyDescent="0.2">
      <c r="D166" s="15"/>
      <c r="E166" s="16"/>
    </row>
    <row r="167" spans="4:5" x14ac:dyDescent="0.2">
      <c r="E167" s="16"/>
    </row>
    <row r="168" spans="4:5" x14ac:dyDescent="0.2">
      <c r="E168" s="16"/>
    </row>
    <row r="169" spans="4:5" x14ac:dyDescent="0.2">
      <c r="E169" s="16"/>
    </row>
    <row r="170" spans="4:5" x14ac:dyDescent="0.2">
      <c r="E170" s="16"/>
    </row>
    <row r="171" spans="4:5" x14ac:dyDescent="0.2">
      <c r="E171" s="16"/>
    </row>
    <row r="172" spans="4:5" x14ac:dyDescent="0.2">
      <c r="D172" s="15"/>
      <c r="E172" s="16"/>
    </row>
    <row r="173" spans="4:5" x14ac:dyDescent="0.2">
      <c r="E173" s="16"/>
    </row>
    <row r="174" spans="4:5" x14ac:dyDescent="0.2">
      <c r="E174" s="16"/>
    </row>
    <row r="175" spans="4:5" x14ac:dyDescent="0.2">
      <c r="E175" s="16"/>
    </row>
    <row r="176" spans="4:5" x14ac:dyDescent="0.2">
      <c r="E176" s="16"/>
    </row>
    <row r="177" spans="4:5" x14ac:dyDescent="0.2">
      <c r="E177" s="16"/>
    </row>
    <row r="178" spans="4:5" x14ac:dyDescent="0.2">
      <c r="D178" s="15"/>
      <c r="E178" s="16"/>
    </row>
    <row r="179" spans="4:5" x14ac:dyDescent="0.2">
      <c r="E179" s="16"/>
    </row>
    <row r="180" spans="4:5" x14ac:dyDescent="0.2">
      <c r="E180" s="16"/>
    </row>
    <row r="181" spans="4:5" x14ac:dyDescent="0.2">
      <c r="E181" s="16"/>
    </row>
    <row r="182" spans="4:5" x14ac:dyDescent="0.2">
      <c r="E182" s="16"/>
    </row>
    <row r="183" spans="4:5" x14ac:dyDescent="0.2">
      <c r="E183" s="16"/>
    </row>
    <row r="184" spans="4:5" x14ac:dyDescent="0.2">
      <c r="D184" s="15"/>
      <c r="E184" s="16"/>
    </row>
    <row r="185" spans="4:5" x14ac:dyDescent="0.2">
      <c r="E185" s="16"/>
    </row>
    <row r="186" spans="4:5" x14ac:dyDescent="0.2">
      <c r="E186" s="16"/>
    </row>
    <row r="187" spans="4:5" x14ac:dyDescent="0.2">
      <c r="E187" s="16"/>
    </row>
    <row r="188" spans="4:5" x14ac:dyDescent="0.2">
      <c r="E188" s="16"/>
    </row>
    <row r="189" spans="4:5" x14ac:dyDescent="0.2">
      <c r="E189" s="16"/>
    </row>
    <row r="190" spans="4:5" x14ac:dyDescent="0.2">
      <c r="D190" s="15"/>
      <c r="E190" s="16"/>
    </row>
    <row r="191" spans="4:5" x14ac:dyDescent="0.2">
      <c r="E191" s="16"/>
    </row>
    <row r="192" spans="4:5" x14ac:dyDescent="0.2">
      <c r="E192" s="16"/>
    </row>
    <row r="193" spans="4:5" x14ac:dyDescent="0.2">
      <c r="E193" s="16"/>
    </row>
    <row r="194" spans="4:5" x14ac:dyDescent="0.2">
      <c r="D194" s="15"/>
      <c r="E194" s="16"/>
    </row>
    <row r="195" spans="4:5" x14ac:dyDescent="0.2">
      <c r="E195" s="16"/>
    </row>
    <row r="196" spans="4:5" x14ac:dyDescent="0.2">
      <c r="E196" s="16"/>
    </row>
    <row r="197" spans="4:5" x14ac:dyDescent="0.2">
      <c r="E197" s="16"/>
    </row>
    <row r="198" spans="4:5" x14ac:dyDescent="0.2">
      <c r="E198" s="16"/>
    </row>
    <row r="199" spans="4:5" x14ac:dyDescent="0.2">
      <c r="D199" s="15"/>
      <c r="E199" s="16"/>
    </row>
    <row r="200" spans="4:5" x14ac:dyDescent="0.2">
      <c r="E200" s="16"/>
    </row>
    <row r="201" spans="4:5" x14ac:dyDescent="0.2">
      <c r="E201" s="16"/>
    </row>
    <row r="202" spans="4:5" x14ac:dyDescent="0.2">
      <c r="D202" s="15"/>
      <c r="E202" s="16"/>
    </row>
    <row r="203" spans="4:5" x14ac:dyDescent="0.2">
      <c r="E203" s="16"/>
    </row>
    <row r="204" spans="4:5" x14ac:dyDescent="0.2">
      <c r="E204" s="16"/>
    </row>
    <row r="205" spans="4:5" x14ac:dyDescent="0.2">
      <c r="D205" s="15"/>
      <c r="E205" s="16"/>
    </row>
    <row r="206" spans="4:5" x14ac:dyDescent="0.2">
      <c r="E206" s="16"/>
    </row>
    <row r="207" spans="4:5" x14ac:dyDescent="0.2">
      <c r="E207" s="16"/>
    </row>
    <row r="208" spans="4:5" x14ac:dyDescent="0.2">
      <c r="D208" s="15"/>
      <c r="E208" s="16"/>
    </row>
    <row r="209" spans="4:5" x14ac:dyDescent="0.2">
      <c r="E209" s="16"/>
    </row>
    <row r="210" spans="4:5" x14ac:dyDescent="0.2">
      <c r="E210" s="16"/>
    </row>
    <row r="211" spans="4:5" x14ac:dyDescent="0.2">
      <c r="D211" s="15"/>
      <c r="E211" s="16"/>
    </row>
    <row r="212" spans="4:5" x14ac:dyDescent="0.2">
      <c r="E212" s="16"/>
    </row>
    <row r="213" spans="4:5" x14ac:dyDescent="0.2">
      <c r="E213" s="16"/>
    </row>
    <row r="214" spans="4:5" x14ac:dyDescent="0.2">
      <c r="D214" s="15"/>
      <c r="E214" s="16"/>
    </row>
    <row r="215" spans="4:5" x14ac:dyDescent="0.2">
      <c r="E215" s="16"/>
    </row>
    <row r="216" spans="4:5" x14ac:dyDescent="0.2">
      <c r="E216" s="16"/>
    </row>
    <row r="217" spans="4:5" x14ac:dyDescent="0.2">
      <c r="D217" s="15"/>
      <c r="E217" s="16"/>
    </row>
    <row r="218" spans="4:5" x14ac:dyDescent="0.2">
      <c r="E218" s="16"/>
    </row>
    <row r="219" spans="4:5" x14ac:dyDescent="0.2">
      <c r="E219" s="16"/>
    </row>
    <row r="220" spans="4:5" x14ac:dyDescent="0.2">
      <c r="D220" s="15"/>
      <c r="E220" s="16"/>
    </row>
    <row r="221" spans="4:5" x14ac:dyDescent="0.2">
      <c r="E221" s="16"/>
    </row>
    <row r="222" spans="4:5" x14ac:dyDescent="0.2">
      <c r="E222" s="16"/>
    </row>
    <row r="223" spans="4:5" x14ac:dyDescent="0.2">
      <c r="D223" s="15"/>
      <c r="E223" s="16"/>
    </row>
    <row r="224" spans="4:5" x14ac:dyDescent="0.2">
      <c r="E224" s="16"/>
    </row>
    <row r="225" spans="4:5" x14ac:dyDescent="0.2">
      <c r="E225" s="16"/>
    </row>
    <row r="226" spans="4:5" x14ac:dyDescent="0.2">
      <c r="D226" s="15"/>
      <c r="E226" s="16"/>
    </row>
    <row r="227" spans="4:5" x14ac:dyDescent="0.2">
      <c r="E227" s="16"/>
    </row>
    <row r="228" spans="4:5" x14ac:dyDescent="0.2">
      <c r="E228" s="16"/>
    </row>
    <row r="229" spans="4:5" x14ac:dyDescent="0.2">
      <c r="D229" s="15"/>
      <c r="E229" s="16"/>
    </row>
    <row r="230" spans="4:5" x14ac:dyDescent="0.2">
      <c r="E230" s="16"/>
    </row>
    <row r="231" spans="4:5" x14ac:dyDescent="0.2">
      <c r="E231" s="16"/>
    </row>
    <row r="232" spans="4:5" x14ac:dyDescent="0.2">
      <c r="D232" s="15"/>
      <c r="E232" s="16"/>
    </row>
    <row r="233" spans="4:5" x14ac:dyDescent="0.2">
      <c r="E233" s="16"/>
    </row>
    <row r="234" spans="4:5" x14ac:dyDescent="0.2">
      <c r="E234" s="16"/>
    </row>
    <row r="235" spans="4:5" x14ac:dyDescent="0.2">
      <c r="D235" s="15"/>
      <c r="E235" s="16"/>
    </row>
    <row r="236" spans="4:5" x14ac:dyDescent="0.2">
      <c r="E236" s="16"/>
    </row>
    <row r="237" spans="4:5" x14ac:dyDescent="0.2">
      <c r="E237" s="16"/>
    </row>
    <row r="238" spans="4:5" x14ac:dyDescent="0.2">
      <c r="D238" s="15"/>
      <c r="E238" s="16"/>
    </row>
    <row r="239" spans="4:5" x14ac:dyDescent="0.2">
      <c r="D239" s="15"/>
      <c r="E239" s="16"/>
    </row>
    <row r="240" spans="4:5" x14ac:dyDescent="0.2">
      <c r="E240" s="16"/>
    </row>
    <row r="241" spans="4:5" x14ac:dyDescent="0.2">
      <c r="D241" s="15"/>
      <c r="E241" s="16"/>
    </row>
    <row r="242" spans="4:5" x14ac:dyDescent="0.2">
      <c r="E242" s="16"/>
    </row>
    <row r="243" spans="4:5" x14ac:dyDescent="0.2">
      <c r="E243" s="16"/>
    </row>
    <row r="244" spans="4:5" x14ac:dyDescent="0.2">
      <c r="D244" s="15"/>
      <c r="E244" s="16"/>
    </row>
    <row r="245" spans="4:5" x14ac:dyDescent="0.2">
      <c r="E245" s="16"/>
    </row>
    <row r="246" spans="4:5" x14ac:dyDescent="0.2">
      <c r="E246" s="16"/>
    </row>
    <row r="247" spans="4:5" x14ac:dyDescent="0.2">
      <c r="E247" s="16"/>
    </row>
    <row r="248" spans="4:5" x14ac:dyDescent="0.2">
      <c r="E248" s="16"/>
    </row>
    <row r="249" spans="4:5" x14ac:dyDescent="0.2">
      <c r="E249" s="16"/>
    </row>
    <row r="250" spans="4:5" x14ac:dyDescent="0.2">
      <c r="E250" s="16"/>
    </row>
    <row r="251" spans="4:5" x14ac:dyDescent="0.2">
      <c r="E251" s="16"/>
    </row>
    <row r="252" spans="4:5" x14ac:dyDescent="0.2">
      <c r="D252" s="15"/>
      <c r="E252" s="16"/>
    </row>
    <row r="253" spans="4:5" x14ac:dyDescent="0.2">
      <c r="E253" s="16"/>
    </row>
    <row r="254" spans="4:5" x14ac:dyDescent="0.2">
      <c r="E254" s="16"/>
    </row>
    <row r="255" spans="4:5" x14ac:dyDescent="0.2">
      <c r="D255" s="15"/>
      <c r="E255" s="16"/>
    </row>
    <row r="256" spans="4:5" x14ac:dyDescent="0.2">
      <c r="E256" s="16"/>
    </row>
    <row r="257" spans="4:5" x14ac:dyDescent="0.2">
      <c r="E257" s="16"/>
    </row>
    <row r="258" spans="4:5" x14ac:dyDescent="0.2">
      <c r="D258" s="15"/>
      <c r="E258" s="16"/>
    </row>
    <row r="259" spans="4:5" x14ac:dyDescent="0.2">
      <c r="E259" s="16"/>
    </row>
    <row r="260" spans="4:5" x14ac:dyDescent="0.2">
      <c r="E260" s="16"/>
    </row>
    <row r="261" spans="4:5" x14ac:dyDescent="0.2">
      <c r="D261" s="15"/>
      <c r="E261" s="16"/>
    </row>
    <row r="262" spans="4:5" x14ac:dyDescent="0.2">
      <c r="E262" s="16"/>
    </row>
    <row r="263" spans="4:5" x14ac:dyDescent="0.2">
      <c r="E263" s="16"/>
    </row>
    <row r="264" spans="4:5" x14ac:dyDescent="0.2">
      <c r="D264" s="15"/>
      <c r="E264" s="16"/>
    </row>
    <row r="265" spans="4:5" x14ac:dyDescent="0.2">
      <c r="E265" s="16"/>
    </row>
    <row r="266" spans="4:5" x14ac:dyDescent="0.2">
      <c r="E266" s="16"/>
    </row>
    <row r="267" spans="4:5" x14ac:dyDescent="0.2">
      <c r="D267" s="15"/>
      <c r="E267" s="16"/>
    </row>
    <row r="268" spans="4:5" x14ac:dyDescent="0.2">
      <c r="E268" s="16"/>
    </row>
    <row r="269" spans="4:5" x14ac:dyDescent="0.2">
      <c r="E269" s="16"/>
    </row>
    <row r="270" spans="4:5" x14ac:dyDescent="0.2">
      <c r="D270" s="15"/>
      <c r="E270" s="16"/>
    </row>
    <row r="271" spans="4:5" x14ac:dyDescent="0.2">
      <c r="E271" s="16"/>
    </row>
    <row r="272" spans="4:5" x14ac:dyDescent="0.2">
      <c r="E272" s="16"/>
    </row>
    <row r="273" spans="4:5" x14ac:dyDescent="0.2">
      <c r="E273" s="16"/>
    </row>
    <row r="274" spans="4:5" x14ac:dyDescent="0.2">
      <c r="D274" s="15"/>
      <c r="E274" s="16"/>
    </row>
    <row r="275" spans="4:5" x14ac:dyDescent="0.2">
      <c r="E275" s="16"/>
    </row>
    <row r="276" spans="4:5" x14ac:dyDescent="0.2">
      <c r="E276" s="16"/>
    </row>
    <row r="277" spans="4:5" x14ac:dyDescent="0.2">
      <c r="E277" s="16"/>
    </row>
    <row r="278" spans="4:5" x14ac:dyDescent="0.2">
      <c r="D278" s="15"/>
      <c r="E278" s="16"/>
    </row>
    <row r="279" spans="4:5" x14ac:dyDescent="0.2">
      <c r="E279" s="16"/>
    </row>
    <row r="280" spans="4:5" x14ac:dyDescent="0.2">
      <c r="E280" s="16"/>
    </row>
    <row r="281" spans="4:5" x14ac:dyDescent="0.2">
      <c r="E281" s="16"/>
    </row>
    <row r="282" spans="4:5" x14ac:dyDescent="0.2">
      <c r="D282" s="15"/>
      <c r="E282" s="16"/>
    </row>
    <row r="283" spans="4:5" x14ac:dyDescent="0.2">
      <c r="E283" s="16"/>
    </row>
    <row r="284" spans="4:5" x14ac:dyDescent="0.2">
      <c r="E284" s="16"/>
    </row>
    <row r="285" spans="4:5" x14ac:dyDescent="0.2">
      <c r="E285" s="16"/>
    </row>
    <row r="286" spans="4:5" x14ac:dyDescent="0.2">
      <c r="D286" s="15"/>
      <c r="E286" s="16"/>
    </row>
    <row r="287" spans="4:5" x14ac:dyDescent="0.2">
      <c r="E287" s="16"/>
    </row>
    <row r="288" spans="4:5" x14ac:dyDescent="0.2">
      <c r="E288" s="16"/>
    </row>
    <row r="289" spans="4:5" x14ac:dyDescent="0.2">
      <c r="E289" s="16"/>
    </row>
    <row r="290" spans="4:5" x14ac:dyDescent="0.2">
      <c r="D290" s="15"/>
      <c r="E290" s="16"/>
    </row>
    <row r="291" spans="4:5" x14ac:dyDescent="0.2">
      <c r="E291" s="16"/>
    </row>
    <row r="292" spans="4:5" x14ac:dyDescent="0.2">
      <c r="E292" s="16"/>
    </row>
    <row r="293" spans="4:5" x14ac:dyDescent="0.2">
      <c r="E293" s="16"/>
    </row>
    <row r="294" spans="4:5" x14ac:dyDescent="0.2">
      <c r="D294" s="15"/>
      <c r="E294" s="16"/>
    </row>
    <row r="295" spans="4:5" x14ac:dyDescent="0.2">
      <c r="E295" s="16"/>
    </row>
    <row r="296" spans="4:5" x14ac:dyDescent="0.2">
      <c r="E296" s="16"/>
    </row>
    <row r="297" spans="4:5" x14ac:dyDescent="0.2">
      <c r="E297" s="16"/>
    </row>
    <row r="298" spans="4:5" x14ac:dyDescent="0.2">
      <c r="D298" s="15"/>
      <c r="E298" s="16"/>
    </row>
    <row r="299" spans="4:5" x14ac:dyDescent="0.2">
      <c r="E299" s="16"/>
    </row>
    <row r="300" spans="4:5" x14ac:dyDescent="0.2">
      <c r="E300" s="16"/>
    </row>
    <row r="301" spans="4:5" x14ac:dyDescent="0.2">
      <c r="E301" s="16"/>
    </row>
    <row r="302" spans="4:5" x14ac:dyDescent="0.2">
      <c r="D302" s="15"/>
      <c r="E302" s="16"/>
    </row>
    <row r="303" spans="4:5" x14ac:dyDescent="0.2">
      <c r="E303" s="16"/>
    </row>
    <row r="304" spans="4:5" x14ac:dyDescent="0.2">
      <c r="E304" s="16"/>
    </row>
    <row r="305" spans="4:5" x14ac:dyDescent="0.2">
      <c r="E305" s="16"/>
    </row>
    <row r="306" spans="4:5" x14ac:dyDescent="0.2">
      <c r="D306" s="15"/>
      <c r="E306" s="16"/>
    </row>
    <row r="307" spans="4:5" x14ac:dyDescent="0.2">
      <c r="D307" s="15"/>
      <c r="E307" s="1"/>
    </row>
    <row r="320" spans="4:5" x14ac:dyDescent="0.2">
      <c r="D320" s="1"/>
      <c r="E320" s="1"/>
    </row>
    <row r="321" s="1" customFormat="1" x14ac:dyDescent="0.2"/>
    <row r="322" s="1" customFormat="1" x14ac:dyDescent="0.2"/>
    <row r="323" s="1" customFormat="1" x14ac:dyDescent="0.2"/>
    <row r="324" s="1" customFormat="1" x14ac:dyDescent="0.2"/>
    <row r="325" s="1" customFormat="1" x14ac:dyDescent="0.2"/>
    <row r="326" s="1" customFormat="1" x14ac:dyDescent="0.2"/>
    <row r="327" s="1" customFormat="1" x14ac:dyDescent="0.2"/>
    <row r="328" s="1" customFormat="1" x14ac:dyDescent="0.2"/>
    <row r="329" s="1" customFormat="1" x14ac:dyDescent="0.2"/>
    <row r="330" s="1" customFormat="1" x14ac:dyDescent="0.2"/>
    <row r="331" s="1" customFormat="1" x14ac:dyDescent="0.2"/>
    <row r="332" s="1" customFormat="1" x14ac:dyDescent="0.2"/>
    <row r="333" s="1" customFormat="1" x14ac:dyDescent="0.2"/>
    <row r="334" s="1" customFormat="1" x14ac:dyDescent="0.2"/>
    <row r="335" s="1" customFormat="1" x14ac:dyDescent="0.2"/>
    <row r="336" s="1" customFormat="1" x14ac:dyDescent="0.2"/>
    <row r="337" s="1" customFormat="1" x14ac:dyDescent="0.2"/>
    <row r="338" s="1" customFormat="1" x14ac:dyDescent="0.2"/>
    <row r="339" s="1" customFormat="1" x14ac:dyDescent="0.2"/>
    <row r="340" s="1" customFormat="1" x14ac:dyDescent="0.2"/>
    <row r="341" s="1" customFormat="1" x14ac:dyDescent="0.2"/>
    <row r="342" s="1" customFormat="1" x14ac:dyDescent="0.2"/>
    <row r="343" s="1" customFormat="1" x14ac:dyDescent="0.2"/>
    <row r="344" s="1" customFormat="1" x14ac:dyDescent="0.2"/>
    <row r="345" s="1" customFormat="1" x14ac:dyDescent="0.2"/>
    <row r="346" s="1" customFormat="1" x14ac:dyDescent="0.2"/>
    <row r="347" s="1" customFormat="1" x14ac:dyDescent="0.2"/>
    <row r="348" s="1" customFormat="1" x14ac:dyDescent="0.2"/>
    <row r="349" s="1" customFormat="1" x14ac:dyDescent="0.2"/>
    <row r="350" s="1" customFormat="1" x14ac:dyDescent="0.2"/>
    <row r="351" s="1" customFormat="1" x14ac:dyDescent="0.2"/>
    <row r="352" s="1" customFormat="1" x14ac:dyDescent="0.2"/>
    <row r="353" s="1" customFormat="1" x14ac:dyDescent="0.2"/>
    <row r="354" s="1" customFormat="1" x14ac:dyDescent="0.2"/>
    <row r="355" s="1" customFormat="1" x14ac:dyDescent="0.2"/>
    <row r="356" s="1" customFormat="1" x14ac:dyDescent="0.2"/>
    <row r="357" s="1" customFormat="1" x14ac:dyDescent="0.2"/>
    <row r="358" s="1" customFormat="1" x14ac:dyDescent="0.2"/>
    <row r="359" s="1" customFormat="1" x14ac:dyDescent="0.2"/>
    <row r="360" s="1" customFormat="1" x14ac:dyDescent="0.2"/>
    <row r="361" s="1" customFormat="1" x14ac:dyDescent="0.2"/>
    <row r="362" s="1" customFormat="1" x14ac:dyDescent="0.2"/>
    <row r="363" s="1" customFormat="1" x14ac:dyDescent="0.2"/>
    <row r="364" s="1" customFormat="1" x14ac:dyDescent="0.2"/>
    <row r="365" s="1" customFormat="1" x14ac:dyDescent="0.2"/>
    <row r="366" s="1" customFormat="1" x14ac:dyDescent="0.2"/>
    <row r="367" s="1" customFormat="1" x14ac:dyDescent="0.2"/>
    <row r="368" s="1" customFormat="1" x14ac:dyDescent="0.2"/>
    <row r="369" s="1" customFormat="1" x14ac:dyDescent="0.2"/>
    <row r="370" s="1" customFormat="1" x14ac:dyDescent="0.2"/>
    <row r="371" s="1" customFormat="1" x14ac:dyDescent="0.2"/>
    <row r="372" s="1" customFormat="1" x14ac:dyDescent="0.2"/>
    <row r="373" s="1" customFormat="1" x14ac:dyDescent="0.2"/>
    <row r="374" s="1" customFormat="1" x14ac:dyDescent="0.2"/>
    <row r="375" s="1" customFormat="1" x14ac:dyDescent="0.2"/>
    <row r="376" s="1" customFormat="1" x14ac:dyDescent="0.2"/>
    <row r="377" s="1" customFormat="1" x14ac:dyDescent="0.2"/>
    <row r="378" s="1" customFormat="1" x14ac:dyDescent="0.2"/>
    <row r="379" s="1" customFormat="1" x14ac:dyDescent="0.2"/>
    <row r="380" s="1" customFormat="1" x14ac:dyDescent="0.2"/>
    <row r="381" s="1" customFormat="1" x14ac:dyDescent="0.2"/>
    <row r="382" s="1" customFormat="1" x14ac:dyDescent="0.2"/>
    <row r="383" s="1" customFormat="1" x14ac:dyDescent="0.2"/>
    <row r="384" s="1" customFormat="1" x14ac:dyDescent="0.2"/>
    <row r="385" s="1" customFormat="1" x14ac:dyDescent="0.2"/>
    <row r="386" s="1" customFormat="1" x14ac:dyDescent="0.2"/>
    <row r="387" s="1" customFormat="1" x14ac:dyDescent="0.2"/>
    <row r="388" s="1" customFormat="1" x14ac:dyDescent="0.2"/>
    <row r="389" s="1" customFormat="1" x14ac:dyDescent="0.2"/>
    <row r="390" s="1" customFormat="1" x14ac:dyDescent="0.2"/>
    <row r="391" s="1" customFormat="1" x14ac:dyDescent="0.2"/>
    <row r="392" s="1" customFormat="1" x14ac:dyDescent="0.2"/>
    <row r="393" s="1" customFormat="1" x14ac:dyDescent="0.2"/>
    <row r="394" s="1" customFormat="1" x14ac:dyDescent="0.2"/>
    <row r="395" s="1" customFormat="1" x14ac:dyDescent="0.2"/>
    <row r="396" s="1" customFormat="1" x14ac:dyDescent="0.2"/>
    <row r="397" s="1" customFormat="1" x14ac:dyDescent="0.2"/>
    <row r="398" s="1" customFormat="1" x14ac:dyDescent="0.2"/>
    <row r="399" s="1" customFormat="1" x14ac:dyDescent="0.2"/>
    <row r="408" spans="4:4" s="1" customFormat="1" x14ac:dyDescent="0.2">
      <c r="D408" s="15"/>
    </row>
    <row r="412" spans="4:4" s="1" customFormat="1" x14ac:dyDescent="0.2">
      <c r="D412" s="15"/>
    </row>
    <row r="413" spans="4:4" s="1" customFormat="1" x14ac:dyDescent="0.2">
      <c r="D413" s="15"/>
    </row>
    <row r="416" spans="4:4" s="1" customFormat="1" x14ac:dyDescent="0.2"/>
    <row r="417" s="1" customFormat="1" x14ac:dyDescent="0.2"/>
    <row r="418" s="1" customFormat="1" x14ac:dyDescent="0.2"/>
    <row r="419" s="1" customFormat="1" x14ac:dyDescent="0.2"/>
    <row r="420" s="1" customFormat="1" x14ac:dyDescent="0.2"/>
    <row r="421" s="1" customFormat="1" x14ac:dyDescent="0.2"/>
    <row r="422" s="1" customFormat="1" x14ac:dyDescent="0.2"/>
    <row r="423" s="1" customFormat="1" x14ac:dyDescent="0.2"/>
    <row r="424" s="1" customFormat="1" x14ac:dyDescent="0.2"/>
    <row r="425" s="1" customFormat="1" x14ac:dyDescent="0.2"/>
    <row r="426" s="1" customFormat="1" x14ac:dyDescent="0.2"/>
    <row r="427" s="1" customFormat="1" x14ac:dyDescent="0.2"/>
    <row r="428" s="1" customFormat="1" x14ac:dyDescent="0.2"/>
    <row r="429" s="1" customFormat="1" x14ac:dyDescent="0.2"/>
    <row r="430" s="1" customFormat="1" x14ac:dyDescent="0.2"/>
    <row r="431" s="1" customFormat="1" x14ac:dyDescent="0.2"/>
    <row r="432" s="1" customFormat="1" x14ac:dyDescent="0.2"/>
    <row r="433" s="1" customFormat="1" x14ac:dyDescent="0.2"/>
    <row r="434" s="1" customFormat="1" x14ac:dyDescent="0.2"/>
    <row r="435" s="1" customFormat="1" x14ac:dyDescent="0.2"/>
    <row r="436" s="1" customFormat="1" x14ac:dyDescent="0.2"/>
    <row r="437" s="1" customFormat="1" x14ac:dyDescent="0.2"/>
    <row r="438" s="1" customFormat="1" x14ac:dyDescent="0.2"/>
    <row r="439" s="1" customFormat="1" x14ac:dyDescent="0.2"/>
    <row r="440" s="1" customFormat="1" x14ac:dyDescent="0.2"/>
    <row r="441" s="1" customFormat="1" x14ac:dyDescent="0.2"/>
    <row r="442" s="1" customFormat="1" x14ac:dyDescent="0.2"/>
    <row r="443" s="1" customFormat="1" x14ac:dyDescent="0.2"/>
    <row r="444" s="1" customFormat="1" x14ac:dyDescent="0.2"/>
    <row r="445" s="1" customFormat="1" x14ac:dyDescent="0.2"/>
    <row r="446" s="1" customFormat="1" x14ac:dyDescent="0.2"/>
    <row r="447" s="1" customFormat="1" x14ac:dyDescent="0.2"/>
    <row r="448" s="1" customFormat="1" x14ac:dyDescent="0.2"/>
    <row r="449" s="1" customFormat="1" x14ac:dyDescent="0.2"/>
    <row r="450" s="1" customFormat="1" x14ac:dyDescent="0.2"/>
    <row r="451" s="1" customFormat="1" x14ac:dyDescent="0.2"/>
    <row r="452" s="1" customFormat="1" x14ac:dyDescent="0.2"/>
    <row r="453" s="1" customFormat="1" x14ac:dyDescent="0.2"/>
    <row r="454" s="1" customFormat="1" x14ac:dyDescent="0.2"/>
    <row r="455" s="1" customFormat="1" x14ac:dyDescent="0.2"/>
    <row r="456" s="1" customFormat="1" x14ac:dyDescent="0.2"/>
    <row r="457" s="1" customFormat="1" x14ac:dyDescent="0.2"/>
    <row r="458" s="1" customFormat="1" x14ac:dyDescent="0.2"/>
    <row r="459" s="1" customFormat="1" x14ac:dyDescent="0.2"/>
    <row r="460" s="1" customFormat="1" x14ac:dyDescent="0.2"/>
    <row r="461" s="1" customFormat="1" x14ac:dyDescent="0.2"/>
    <row r="462" s="1" customFormat="1" x14ac:dyDescent="0.2"/>
    <row r="463" s="1" customFormat="1" x14ac:dyDescent="0.2"/>
    <row r="464" s="1" customFormat="1" x14ac:dyDescent="0.2"/>
    <row r="465" s="1" customFormat="1" x14ac:dyDescent="0.2"/>
    <row r="466" s="1" customFormat="1" x14ac:dyDescent="0.2"/>
    <row r="467" s="1" customFormat="1" x14ac:dyDescent="0.2"/>
    <row r="468" s="1" customFormat="1" x14ac:dyDescent="0.2"/>
    <row r="469" s="1" customFormat="1" x14ac:dyDescent="0.2"/>
    <row r="470" s="1" customFormat="1" x14ac:dyDescent="0.2"/>
    <row r="471" s="1" customFormat="1" x14ac:dyDescent="0.2"/>
    <row r="472" s="1" customFormat="1" x14ac:dyDescent="0.2"/>
    <row r="473" s="1" customFormat="1" x14ac:dyDescent="0.2"/>
    <row r="474" s="1" customFormat="1" x14ac:dyDescent="0.2"/>
    <row r="475" s="1" customFormat="1" x14ac:dyDescent="0.2"/>
    <row r="476" s="1" customFormat="1" x14ac:dyDescent="0.2"/>
    <row r="477" s="1" customFormat="1" x14ac:dyDescent="0.2"/>
    <row r="478" s="1" customFormat="1" x14ac:dyDescent="0.2"/>
    <row r="479" s="1" customFormat="1" x14ac:dyDescent="0.2"/>
    <row r="480" s="1" customFormat="1" x14ac:dyDescent="0.2"/>
    <row r="481" s="1" customFormat="1" x14ac:dyDescent="0.2"/>
    <row r="482" s="1" customFormat="1" x14ac:dyDescent="0.2"/>
    <row r="483" s="1" customFormat="1" x14ac:dyDescent="0.2"/>
    <row r="484" s="1" customFormat="1" x14ac:dyDescent="0.2"/>
    <row r="485" s="1" customFormat="1" x14ac:dyDescent="0.2"/>
    <row r="486" s="1" customFormat="1" x14ac:dyDescent="0.2"/>
    <row r="487" s="1" customFormat="1" x14ac:dyDescent="0.2"/>
    <row r="488" s="1" customFormat="1" x14ac:dyDescent="0.2"/>
    <row r="489" s="1" customFormat="1" x14ac:dyDescent="0.2"/>
    <row r="490" s="1" customFormat="1" x14ac:dyDescent="0.2"/>
    <row r="491" s="1" customFormat="1" x14ac:dyDescent="0.2"/>
    <row r="492" s="1" customFormat="1" x14ac:dyDescent="0.2"/>
    <row r="493" s="1" customFormat="1" x14ac:dyDescent="0.2"/>
    <row r="494" s="1" customFormat="1" x14ac:dyDescent="0.2"/>
    <row r="495" s="1" customFormat="1" x14ac:dyDescent="0.2"/>
    <row r="496" s="1" customFormat="1" x14ac:dyDescent="0.2"/>
    <row r="497" s="1" customFormat="1" x14ac:dyDescent="0.2"/>
    <row r="498" s="1" customFormat="1" x14ac:dyDescent="0.2"/>
    <row r="499" s="1" customFormat="1" x14ac:dyDescent="0.2"/>
    <row r="500" s="1" customFormat="1" x14ac:dyDescent="0.2"/>
    <row r="501" s="1" customFormat="1" x14ac:dyDescent="0.2"/>
    <row r="502" s="1" customFormat="1" x14ac:dyDescent="0.2"/>
    <row r="503" s="1" customFormat="1" x14ac:dyDescent="0.2"/>
    <row r="504" s="1" customFormat="1" x14ac:dyDescent="0.2"/>
    <row r="505" s="1" customFormat="1" x14ac:dyDescent="0.2"/>
    <row r="506" s="1" customFormat="1" x14ac:dyDescent="0.2"/>
    <row r="507" s="1" customFormat="1" x14ac:dyDescent="0.2"/>
    <row r="508" s="1" customFormat="1" x14ac:dyDescent="0.2"/>
    <row r="509" s="1" customFormat="1" x14ac:dyDescent="0.2"/>
    <row r="510" s="1" customFormat="1" x14ac:dyDescent="0.2"/>
    <row r="511" s="1" customFormat="1" x14ac:dyDescent="0.2"/>
    <row r="512" s="1" customFormat="1" x14ac:dyDescent="0.2"/>
    <row r="513" s="1" customFormat="1" x14ac:dyDescent="0.2"/>
    <row r="514" s="1" customFormat="1" x14ac:dyDescent="0.2"/>
    <row r="515" s="1" customFormat="1" x14ac:dyDescent="0.2"/>
    <row r="516" s="1" customFormat="1" x14ac:dyDescent="0.2"/>
    <row r="517" s="1" customFormat="1" x14ac:dyDescent="0.2"/>
    <row r="518" s="1" customFormat="1" x14ac:dyDescent="0.2"/>
    <row r="519" s="1" customFormat="1" x14ac:dyDescent="0.2"/>
    <row r="520" s="1" customFormat="1" x14ac:dyDescent="0.2"/>
    <row r="521" s="1" customFormat="1" x14ac:dyDescent="0.2"/>
    <row r="522" s="1" customFormat="1" x14ac:dyDescent="0.2"/>
    <row r="523" s="1" customFormat="1" x14ac:dyDescent="0.2"/>
    <row r="524" s="1" customFormat="1" x14ac:dyDescent="0.2"/>
    <row r="525" s="1" customFormat="1" x14ac:dyDescent="0.2"/>
    <row r="526" s="1" customFormat="1" x14ac:dyDescent="0.2"/>
    <row r="527" s="1" customFormat="1" x14ac:dyDescent="0.2"/>
    <row r="528" s="1" customFormat="1" x14ac:dyDescent="0.2"/>
    <row r="529" s="1" customFormat="1" x14ac:dyDescent="0.2"/>
    <row r="530" s="1" customFormat="1" x14ac:dyDescent="0.2"/>
    <row r="531" s="1" customFormat="1" x14ac:dyDescent="0.2"/>
    <row r="532" s="1" customFormat="1" x14ac:dyDescent="0.2"/>
    <row r="533" s="1" customFormat="1" x14ac:dyDescent="0.2"/>
    <row r="534" s="1" customFormat="1" x14ac:dyDescent="0.2"/>
    <row r="535" s="1" customFormat="1" x14ac:dyDescent="0.2"/>
    <row r="536" s="1" customFormat="1" x14ac:dyDescent="0.2"/>
    <row r="537" s="1" customFormat="1" x14ac:dyDescent="0.2"/>
    <row r="538" s="1" customFormat="1" x14ac:dyDescent="0.2"/>
    <row r="539" s="1" customFormat="1" x14ac:dyDescent="0.2"/>
    <row r="540" s="1" customFormat="1" x14ac:dyDescent="0.2"/>
    <row r="541" s="1" customFormat="1" x14ac:dyDescent="0.2"/>
    <row r="542" s="1" customFormat="1" x14ac:dyDescent="0.2"/>
    <row r="543" s="1" customFormat="1" x14ac:dyDescent="0.2"/>
    <row r="553" spans="4:4" s="1" customFormat="1" x14ac:dyDescent="0.2">
      <c r="D553" s="15"/>
    </row>
    <row r="557" spans="4:4" s="1" customFormat="1" x14ac:dyDescent="0.2">
      <c r="D557" s="15"/>
    </row>
    <row r="558" spans="4:4" s="1" customFormat="1" x14ac:dyDescent="0.2">
      <c r="D558" s="15"/>
    </row>
    <row r="560" spans="4:4" s="1" customFormat="1" x14ac:dyDescent="0.2"/>
    <row r="561" s="1" customFormat="1" x14ac:dyDescent="0.2"/>
    <row r="562" s="1" customFormat="1" x14ac:dyDescent="0.2"/>
    <row r="563" s="1" customFormat="1" x14ac:dyDescent="0.2"/>
    <row r="564" s="1" customFormat="1" x14ac:dyDescent="0.2"/>
    <row r="565" s="1" customFormat="1" x14ac:dyDescent="0.2"/>
    <row r="566" s="1" customFormat="1" x14ac:dyDescent="0.2"/>
    <row r="567" s="1" customFormat="1" x14ac:dyDescent="0.2"/>
    <row r="568" s="1" customFormat="1" x14ac:dyDescent="0.2"/>
    <row r="569" s="1" customFormat="1" x14ac:dyDescent="0.2"/>
    <row r="570" s="1" customFormat="1" x14ac:dyDescent="0.2"/>
    <row r="571" s="1" customFormat="1" x14ac:dyDescent="0.2"/>
    <row r="572" s="1" customFormat="1" x14ac:dyDescent="0.2"/>
    <row r="573" s="1" customFormat="1" x14ac:dyDescent="0.2"/>
    <row r="574" s="1" customFormat="1" x14ac:dyDescent="0.2"/>
    <row r="575" s="1" customFormat="1" x14ac:dyDescent="0.2"/>
    <row r="576" s="1" customFormat="1" x14ac:dyDescent="0.2"/>
    <row r="577" s="1" customFormat="1" x14ac:dyDescent="0.2"/>
    <row r="578" s="1" customFormat="1" x14ac:dyDescent="0.2"/>
    <row r="579" s="1" customFormat="1" x14ac:dyDescent="0.2"/>
    <row r="580" s="1" customFormat="1" x14ac:dyDescent="0.2"/>
    <row r="581" s="1" customFormat="1" x14ac:dyDescent="0.2"/>
    <row r="582" s="1" customFormat="1" x14ac:dyDescent="0.2"/>
    <row r="583" s="1" customFormat="1" x14ac:dyDescent="0.2"/>
    <row r="584" s="1" customFormat="1" x14ac:dyDescent="0.2"/>
    <row r="585" s="1" customFormat="1" x14ac:dyDescent="0.2"/>
    <row r="586" s="1" customFormat="1" x14ac:dyDescent="0.2"/>
    <row r="587" s="1" customFormat="1" x14ac:dyDescent="0.2"/>
    <row r="588" s="1" customFormat="1" x14ac:dyDescent="0.2"/>
    <row r="589" s="1" customFormat="1" x14ac:dyDescent="0.2"/>
    <row r="590" s="1" customFormat="1" x14ac:dyDescent="0.2"/>
    <row r="591" s="1" customFormat="1" x14ac:dyDescent="0.2"/>
    <row r="592" s="1" customFormat="1" x14ac:dyDescent="0.2"/>
    <row r="593" s="1" customFormat="1" x14ac:dyDescent="0.2"/>
    <row r="594" s="1" customFormat="1" x14ac:dyDescent="0.2"/>
    <row r="595" s="1" customFormat="1" x14ac:dyDescent="0.2"/>
    <row r="596" s="1" customFormat="1" x14ac:dyDescent="0.2"/>
    <row r="597" s="1" customFormat="1" x14ac:dyDescent="0.2"/>
    <row r="598" s="1" customFormat="1" x14ac:dyDescent="0.2"/>
    <row r="599" s="1" customFormat="1" x14ac:dyDescent="0.2"/>
    <row r="600" s="1" customFormat="1" x14ac:dyDescent="0.2"/>
    <row r="601" s="1" customFormat="1" x14ac:dyDescent="0.2"/>
    <row r="602" s="1" customFormat="1" x14ac:dyDescent="0.2"/>
    <row r="603" s="1" customFormat="1" x14ac:dyDescent="0.2"/>
    <row r="604" s="1" customFormat="1" x14ac:dyDescent="0.2"/>
    <row r="605" s="1" customFormat="1" x14ac:dyDescent="0.2"/>
    <row r="606" s="1" customFormat="1" x14ac:dyDescent="0.2"/>
    <row r="607" s="1" customFormat="1" x14ac:dyDescent="0.2"/>
    <row r="608" s="1" customFormat="1" x14ac:dyDescent="0.2"/>
    <row r="609" s="1" customFormat="1" x14ac:dyDescent="0.2"/>
    <row r="610" s="1" customFormat="1" x14ac:dyDescent="0.2"/>
    <row r="611" s="1" customFormat="1" x14ac:dyDescent="0.2"/>
    <row r="612" s="1" customFormat="1" x14ac:dyDescent="0.2"/>
    <row r="613" s="1" customFormat="1" x14ac:dyDescent="0.2"/>
    <row r="614" s="1" customFormat="1" x14ac:dyDescent="0.2"/>
    <row r="615" s="1" customFormat="1" x14ac:dyDescent="0.2"/>
    <row r="616" s="1" customFormat="1" x14ac:dyDescent="0.2"/>
    <row r="617" s="1" customFormat="1" x14ac:dyDescent="0.2"/>
    <row r="618" s="1" customFormat="1" x14ac:dyDescent="0.2"/>
    <row r="619" s="1" customFormat="1" x14ac:dyDescent="0.2"/>
    <row r="620" s="1" customFormat="1" x14ac:dyDescent="0.2"/>
    <row r="621" s="1" customFormat="1" x14ac:dyDescent="0.2"/>
    <row r="622" s="1" customFormat="1" x14ac:dyDescent="0.2"/>
    <row r="623" s="1" customFormat="1" x14ac:dyDescent="0.2"/>
    <row r="624" s="1" customFormat="1" x14ac:dyDescent="0.2"/>
    <row r="625" s="1" customFormat="1" x14ac:dyDescent="0.2"/>
    <row r="626" s="1" customFormat="1" x14ac:dyDescent="0.2"/>
    <row r="627" s="1" customFormat="1" x14ac:dyDescent="0.2"/>
    <row r="628" s="1" customFormat="1" x14ac:dyDescent="0.2"/>
    <row r="629" s="1" customFormat="1" x14ac:dyDescent="0.2"/>
    <row r="630" s="1" customFormat="1" x14ac:dyDescent="0.2"/>
    <row r="631" s="1" customFormat="1" x14ac:dyDescent="0.2"/>
    <row r="632" s="1" customFormat="1" x14ac:dyDescent="0.2"/>
    <row r="633" s="1" customFormat="1" x14ac:dyDescent="0.2"/>
    <row r="634" s="1" customFormat="1" x14ac:dyDescent="0.2"/>
    <row r="635" s="1" customFormat="1" x14ac:dyDescent="0.2"/>
    <row r="636" s="1" customFormat="1" x14ac:dyDescent="0.2"/>
    <row r="637" s="1" customFormat="1" x14ac:dyDescent="0.2"/>
    <row r="638" s="1" customFormat="1" x14ac:dyDescent="0.2"/>
    <row r="639" s="1" customFormat="1" x14ac:dyDescent="0.2"/>
    <row r="640" s="1" customFormat="1" x14ac:dyDescent="0.2"/>
    <row r="641" s="1" customFormat="1" x14ac:dyDescent="0.2"/>
    <row r="642" s="1" customFormat="1" x14ac:dyDescent="0.2"/>
    <row r="643" s="1" customFormat="1" x14ac:dyDescent="0.2"/>
    <row r="644" s="1" customFormat="1" x14ac:dyDescent="0.2"/>
    <row r="645" s="1" customFormat="1" x14ac:dyDescent="0.2"/>
    <row r="646" s="1" customFormat="1" x14ac:dyDescent="0.2"/>
    <row r="647" s="1" customFormat="1" x14ac:dyDescent="0.2"/>
    <row r="648" s="1" customFormat="1" x14ac:dyDescent="0.2"/>
    <row r="649" s="1" customFormat="1" x14ac:dyDescent="0.2"/>
    <row r="650" s="1" customFormat="1" x14ac:dyDescent="0.2"/>
    <row r="651" s="1" customFormat="1" x14ac:dyDescent="0.2"/>
    <row r="652" s="1" customFormat="1" x14ac:dyDescent="0.2"/>
    <row r="653" s="1" customFormat="1" x14ac:dyDescent="0.2"/>
    <row r="654" s="1" customFormat="1" x14ac:dyDescent="0.2"/>
    <row r="655" s="1" customFormat="1" x14ac:dyDescent="0.2"/>
    <row r="656" s="1" customFormat="1" x14ac:dyDescent="0.2"/>
    <row r="657" s="1" customFormat="1" x14ac:dyDescent="0.2"/>
    <row r="658" s="1" customFormat="1" x14ac:dyDescent="0.2"/>
    <row r="659" s="1" customFormat="1" x14ac:dyDescent="0.2"/>
    <row r="660" s="1" customFormat="1" x14ac:dyDescent="0.2"/>
    <row r="661" s="1" customFormat="1" x14ac:dyDescent="0.2"/>
    <row r="662" s="1" customFormat="1" x14ac:dyDescent="0.2"/>
    <row r="663" s="1" customFormat="1" x14ac:dyDescent="0.2"/>
    <row r="664" s="1" customFormat="1" x14ac:dyDescent="0.2"/>
    <row r="665" s="1" customFormat="1" x14ac:dyDescent="0.2"/>
    <row r="666" s="1" customFormat="1" x14ac:dyDescent="0.2"/>
    <row r="667" s="1" customFormat="1" x14ac:dyDescent="0.2"/>
    <row r="668" s="1" customFormat="1" x14ac:dyDescent="0.2"/>
    <row r="669" s="1" customFormat="1" x14ac:dyDescent="0.2"/>
    <row r="670" s="1" customFormat="1" x14ac:dyDescent="0.2"/>
    <row r="671" s="1" customFormat="1" x14ac:dyDescent="0.2"/>
    <row r="672" s="1" customFormat="1" x14ac:dyDescent="0.2"/>
    <row r="673" s="1" customFormat="1" x14ac:dyDescent="0.2"/>
    <row r="674" s="1" customFormat="1" x14ac:dyDescent="0.2"/>
    <row r="675" s="1" customFormat="1" x14ac:dyDescent="0.2"/>
    <row r="676" s="1" customFormat="1" x14ac:dyDescent="0.2"/>
    <row r="677" s="1" customFormat="1" x14ac:dyDescent="0.2"/>
    <row r="678" s="1" customFormat="1" x14ac:dyDescent="0.2"/>
    <row r="679" s="1" customFormat="1" x14ac:dyDescent="0.2"/>
    <row r="680" s="1" customFormat="1" x14ac:dyDescent="0.2"/>
    <row r="681" s="1" customFormat="1" x14ac:dyDescent="0.2"/>
    <row r="682" s="1" customFormat="1" x14ac:dyDescent="0.2"/>
    <row r="683" s="1" customFormat="1" x14ac:dyDescent="0.2"/>
    <row r="684" s="1" customFormat="1" x14ac:dyDescent="0.2"/>
    <row r="685" s="1" customFormat="1" x14ac:dyDescent="0.2"/>
    <row r="686" s="1" customFormat="1" x14ac:dyDescent="0.2"/>
    <row r="687" s="1" customFormat="1" x14ac:dyDescent="0.2"/>
    <row r="694" spans="4:4" s="1" customFormat="1" x14ac:dyDescent="0.2">
      <c r="D694" s="15"/>
    </row>
    <row r="695" spans="4:4" s="1" customFormat="1" x14ac:dyDescent="0.2">
      <c r="D695" s="15"/>
    </row>
    <row r="698" spans="4:4" s="1" customFormat="1" x14ac:dyDescent="0.2">
      <c r="D698" s="15"/>
    </row>
    <row r="699" spans="4:4" s="1" customFormat="1" x14ac:dyDescent="0.2">
      <c r="D699" s="15"/>
    </row>
    <row r="704" spans="4:4" s="1" customFormat="1" x14ac:dyDescent="0.2"/>
    <row r="705" s="1" customFormat="1" x14ac:dyDescent="0.2"/>
    <row r="706" s="1" customFormat="1" x14ac:dyDescent="0.2"/>
    <row r="707" s="1" customFormat="1" x14ac:dyDescent="0.2"/>
    <row r="708" s="1" customFormat="1" x14ac:dyDescent="0.2"/>
    <row r="709" s="1" customFormat="1" x14ac:dyDescent="0.2"/>
    <row r="710" s="1" customFormat="1" x14ac:dyDescent="0.2"/>
    <row r="711" s="1" customFormat="1" x14ac:dyDescent="0.2"/>
    <row r="712" s="1" customFormat="1" x14ac:dyDescent="0.2"/>
    <row r="713" s="1" customFormat="1" x14ac:dyDescent="0.2"/>
    <row r="714" s="1" customFormat="1" x14ac:dyDescent="0.2"/>
    <row r="715" s="1" customFormat="1" x14ac:dyDescent="0.2"/>
    <row r="716" s="1" customFormat="1" x14ac:dyDescent="0.2"/>
    <row r="717" s="1" customFormat="1" x14ac:dyDescent="0.2"/>
    <row r="718" s="1" customFormat="1" x14ac:dyDescent="0.2"/>
    <row r="719" s="1" customFormat="1" x14ac:dyDescent="0.2"/>
    <row r="720" s="1" customFormat="1" x14ac:dyDescent="0.2"/>
    <row r="721" s="1" customFormat="1" x14ac:dyDescent="0.2"/>
    <row r="722" s="1" customFormat="1" x14ac:dyDescent="0.2"/>
    <row r="723" s="1" customFormat="1" x14ac:dyDescent="0.2"/>
    <row r="724" s="1" customFormat="1" x14ac:dyDescent="0.2"/>
    <row r="725" s="1" customFormat="1" x14ac:dyDescent="0.2"/>
    <row r="726" s="1" customFormat="1" x14ac:dyDescent="0.2"/>
    <row r="727" s="1" customFormat="1" x14ac:dyDescent="0.2"/>
    <row r="728" s="1" customFormat="1" x14ac:dyDescent="0.2"/>
    <row r="729" s="1" customFormat="1" x14ac:dyDescent="0.2"/>
    <row r="730" s="1" customFormat="1" x14ac:dyDescent="0.2"/>
    <row r="731" s="1" customFormat="1" x14ac:dyDescent="0.2"/>
    <row r="732" s="1" customFormat="1" x14ac:dyDescent="0.2"/>
    <row r="733" s="1" customFormat="1" x14ac:dyDescent="0.2"/>
    <row r="734" s="1" customFormat="1" x14ac:dyDescent="0.2"/>
    <row r="735" s="1" customFormat="1" x14ac:dyDescent="0.2"/>
    <row r="736" s="1" customFormat="1" x14ac:dyDescent="0.2"/>
    <row r="737" s="1" customFormat="1" x14ac:dyDescent="0.2"/>
    <row r="738" s="1" customFormat="1" x14ac:dyDescent="0.2"/>
    <row r="739" s="1" customFormat="1" x14ac:dyDescent="0.2"/>
    <row r="740" s="1" customFormat="1" x14ac:dyDescent="0.2"/>
    <row r="741" s="1" customFormat="1" x14ac:dyDescent="0.2"/>
    <row r="742" s="1" customFormat="1" x14ac:dyDescent="0.2"/>
    <row r="743" s="1" customFormat="1" x14ac:dyDescent="0.2"/>
    <row r="744" s="1" customFormat="1" x14ac:dyDescent="0.2"/>
    <row r="745" s="1" customFormat="1" x14ac:dyDescent="0.2"/>
    <row r="746" s="1" customFormat="1" x14ac:dyDescent="0.2"/>
    <row r="747" s="1" customFormat="1" x14ac:dyDescent="0.2"/>
    <row r="748" s="1" customFormat="1" x14ac:dyDescent="0.2"/>
    <row r="749" s="1" customFormat="1" x14ac:dyDescent="0.2"/>
    <row r="750" s="1" customFormat="1" x14ac:dyDescent="0.2"/>
    <row r="751" s="1" customFormat="1" x14ac:dyDescent="0.2"/>
    <row r="752" s="1" customFormat="1" x14ac:dyDescent="0.2"/>
    <row r="753" s="1" customFormat="1" x14ac:dyDescent="0.2"/>
    <row r="754" s="1" customFormat="1" x14ac:dyDescent="0.2"/>
    <row r="755" s="1" customFormat="1" x14ac:dyDescent="0.2"/>
    <row r="756" s="1" customFormat="1" x14ac:dyDescent="0.2"/>
    <row r="757" s="1" customFormat="1" x14ac:dyDescent="0.2"/>
    <row r="758" s="1" customFormat="1" x14ac:dyDescent="0.2"/>
    <row r="759" s="1" customFormat="1" x14ac:dyDescent="0.2"/>
    <row r="760" s="1" customFormat="1" x14ac:dyDescent="0.2"/>
    <row r="761" s="1" customFormat="1" x14ac:dyDescent="0.2"/>
    <row r="762" s="1" customFormat="1" x14ac:dyDescent="0.2"/>
    <row r="763" s="1" customFormat="1" x14ac:dyDescent="0.2"/>
    <row r="764" s="1" customFormat="1" x14ac:dyDescent="0.2"/>
    <row r="765" s="1" customFormat="1" x14ac:dyDescent="0.2"/>
    <row r="766" s="1" customFormat="1" x14ac:dyDescent="0.2"/>
    <row r="767" s="1" customFormat="1" x14ac:dyDescent="0.2"/>
    <row r="768" s="1" customFormat="1" x14ac:dyDescent="0.2"/>
    <row r="769" s="1" customFormat="1" x14ac:dyDescent="0.2"/>
    <row r="770" s="1" customFormat="1" x14ac:dyDescent="0.2"/>
    <row r="771" s="1" customFormat="1" x14ac:dyDescent="0.2"/>
    <row r="772" s="1" customFormat="1" x14ac:dyDescent="0.2"/>
    <row r="773" s="1" customFormat="1" x14ac:dyDescent="0.2"/>
    <row r="774" s="1" customFormat="1" x14ac:dyDescent="0.2"/>
    <row r="775" s="1" customFormat="1" x14ac:dyDescent="0.2"/>
    <row r="776" s="1" customFormat="1" x14ac:dyDescent="0.2"/>
    <row r="777" s="1" customFormat="1" x14ac:dyDescent="0.2"/>
    <row r="778" s="1" customFormat="1" x14ac:dyDescent="0.2"/>
    <row r="779" s="1" customFormat="1" x14ac:dyDescent="0.2"/>
    <row r="780" s="1" customFormat="1" x14ac:dyDescent="0.2"/>
    <row r="781" s="1" customFormat="1" x14ac:dyDescent="0.2"/>
    <row r="782" s="1" customFormat="1" x14ac:dyDescent="0.2"/>
    <row r="783" s="1" customFormat="1" x14ac:dyDescent="0.2"/>
    <row r="784" s="1" customFormat="1" x14ac:dyDescent="0.2"/>
    <row r="785" s="1" customFormat="1" x14ac:dyDescent="0.2"/>
    <row r="786" s="1" customFormat="1" x14ac:dyDescent="0.2"/>
    <row r="787" s="1" customFormat="1" x14ac:dyDescent="0.2"/>
    <row r="788" s="1" customFormat="1" x14ac:dyDescent="0.2"/>
    <row r="789" s="1" customFormat="1" x14ac:dyDescent="0.2"/>
    <row r="790" s="1" customFormat="1" x14ac:dyDescent="0.2"/>
    <row r="791" s="1" customFormat="1" x14ac:dyDescent="0.2"/>
    <row r="792" s="1" customFormat="1" x14ac:dyDescent="0.2"/>
    <row r="793" s="1" customFormat="1" x14ac:dyDescent="0.2"/>
    <row r="794" s="1" customFormat="1" x14ac:dyDescent="0.2"/>
    <row r="795" s="1" customFormat="1" x14ac:dyDescent="0.2"/>
    <row r="796" s="1" customFormat="1" x14ac:dyDescent="0.2"/>
    <row r="797" s="1" customFormat="1" x14ac:dyDescent="0.2"/>
    <row r="798" s="1" customFormat="1" x14ac:dyDescent="0.2"/>
    <row r="799" s="1" customFormat="1" x14ac:dyDescent="0.2"/>
    <row r="800" s="1" customFormat="1" x14ac:dyDescent="0.2"/>
    <row r="801" s="1" customFormat="1" x14ac:dyDescent="0.2"/>
    <row r="802" s="1" customFormat="1" x14ac:dyDescent="0.2"/>
    <row r="803" s="1" customFormat="1" x14ac:dyDescent="0.2"/>
    <row r="804" s="1" customFormat="1" x14ac:dyDescent="0.2"/>
    <row r="805" s="1" customFormat="1" x14ac:dyDescent="0.2"/>
    <row r="806" s="1" customFormat="1" x14ac:dyDescent="0.2"/>
    <row r="807" s="1" customFormat="1" x14ac:dyDescent="0.2"/>
    <row r="808" s="1" customFormat="1" x14ac:dyDescent="0.2"/>
    <row r="809" s="1" customFormat="1" x14ac:dyDescent="0.2"/>
    <row r="810" s="1" customFormat="1" x14ac:dyDescent="0.2"/>
    <row r="811" s="1" customFormat="1" x14ac:dyDescent="0.2"/>
    <row r="812" s="1" customFormat="1" x14ac:dyDescent="0.2"/>
    <row r="813" s="1" customFormat="1" x14ac:dyDescent="0.2"/>
    <row r="814" s="1" customFormat="1" x14ac:dyDescent="0.2"/>
    <row r="815" s="1" customFormat="1" x14ac:dyDescent="0.2"/>
    <row r="816" s="1" customFormat="1" x14ac:dyDescent="0.2"/>
    <row r="817" s="1" customFormat="1" x14ac:dyDescent="0.2"/>
    <row r="818" s="1" customFormat="1" x14ac:dyDescent="0.2"/>
    <row r="819" s="1" customFormat="1" x14ac:dyDescent="0.2"/>
    <row r="820" s="1" customFormat="1" x14ac:dyDescent="0.2"/>
    <row r="821" s="1" customFormat="1" x14ac:dyDescent="0.2"/>
    <row r="822" s="1" customFormat="1" x14ac:dyDescent="0.2"/>
    <row r="823" s="1" customFormat="1" x14ac:dyDescent="0.2"/>
    <row r="824" s="1" customFormat="1" x14ac:dyDescent="0.2"/>
    <row r="825" s="1" customFormat="1" x14ac:dyDescent="0.2"/>
    <row r="826" s="1" customFormat="1" x14ac:dyDescent="0.2"/>
    <row r="827" s="1" customFormat="1" x14ac:dyDescent="0.2"/>
    <row r="828" s="1" customFormat="1" x14ac:dyDescent="0.2"/>
    <row r="829" s="1" customFormat="1" x14ac:dyDescent="0.2"/>
    <row r="830" s="1" customFormat="1" x14ac:dyDescent="0.2"/>
    <row r="831" s="1" customFormat="1" x14ac:dyDescent="0.2"/>
    <row r="832" s="1" customFormat="1" x14ac:dyDescent="0.2"/>
    <row r="833" s="1" customFormat="1" x14ac:dyDescent="0.2"/>
    <row r="834" s="1" customFormat="1" x14ac:dyDescent="0.2"/>
    <row r="835" s="1" customFormat="1" x14ac:dyDescent="0.2"/>
    <row r="836" s="1" customFormat="1" x14ac:dyDescent="0.2"/>
    <row r="837" s="1" customFormat="1" x14ac:dyDescent="0.2"/>
    <row r="838" s="1" customFormat="1" x14ac:dyDescent="0.2"/>
    <row r="839" s="1" customFormat="1" x14ac:dyDescent="0.2"/>
    <row r="840" s="1" customFormat="1" x14ac:dyDescent="0.2"/>
    <row r="841" s="1" customFormat="1" x14ac:dyDescent="0.2"/>
    <row r="842" s="1" customFormat="1" x14ac:dyDescent="0.2"/>
    <row r="843" s="1" customFormat="1" x14ac:dyDescent="0.2"/>
    <row r="844" s="1" customFormat="1" x14ac:dyDescent="0.2"/>
    <row r="845" s="1" customFormat="1" x14ac:dyDescent="0.2"/>
    <row r="846" s="1" customFormat="1" x14ac:dyDescent="0.2"/>
    <row r="847" s="1" customFormat="1" x14ac:dyDescent="0.2"/>
    <row r="848" s="1" customFormat="1" x14ac:dyDescent="0.2"/>
    <row r="849" s="1" customFormat="1" x14ac:dyDescent="0.2"/>
    <row r="850" s="1" customFormat="1" x14ac:dyDescent="0.2"/>
    <row r="851" s="1" customFormat="1" x14ac:dyDescent="0.2"/>
    <row r="852" s="1" customFormat="1" x14ac:dyDescent="0.2"/>
    <row r="853" s="1" customFormat="1" x14ac:dyDescent="0.2"/>
    <row r="854" s="1" customFormat="1" x14ac:dyDescent="0.2"/>
    <row r="855" s="1" customFormat="1" x14ac:dyDescent="0.2"/>
    <row r="856" s="1" customFormat="1" x14ac:dyDescent="0.2"/>
    <row r="857" s="1" customFormat="1" x14ac:dyDescent="0.2"/>
    <row r="858" s="1" customFormat="1" x14ac:dyDescent="0.2"/>
    <row r="859" s="1" customFormat="1" x14ac:dyDescent="0.2"/>
    <row r="860" s="1" customFormat="1" x14ac:dyDescent="0.2"/>
    <row r="861" s="1" customFormat="1" x14ac:dyDescent="0.2"/>
    <row r="862" s="1" customFormat="1" x14ac:dyDescent="0.2"/>
    <row r="863" s="1" customFormat="1" x14ac:dyDescent="0.2"/>
    <row r="869" spans="4:4" s="1" customFormat="1" x14ac:dyDescent="0.2">
      <c r="D869" s="15"/>
    </row>
    <row r="870" spans="4:4" s="1" customFormat="1" x14ac:dyDescent="0.2">
      <c r="D870" s="15"/>
    </row>
    <row r="873" spans="4:4" s="1" customFormat="1" x14ac:dyDescent="0.2">
      <c r="D873" s="15"/>
    </row>
    <row r="874" spans="4:4" s="1" customFormat="1" x14ac:dyDescent="0.2">
      <c r="D874" s="15"/>
    </row>
    <row r="876" spans="4:4" s="1" customFormat="1" x14ac:dyDescent="0.2">
      <c r="D876" s="15"/>
    </row>
    <row r="877" spans="4:4" s="1" customFormat="1" x14ac:dyDescent="0.2">
      <c r="D877" s="15"/>
    </row>
    <row r="880" spans="4:4" s="1" customFormat="1" x14ac:dyDescent="0.2">
      <c r="D880" s="15"/>
    </row>
    <row r="881" spans="4:4" s="1" customFormat="1" x14ac:dyDescent="0.2">
      <c r="D881" s="15"/>
    </row>
    <row r="884" spans="4:4" s="1" customFormat="1" x14ac:dyDescent="0.2">
      <c r="D884" s="15"/>
    </row>
    <row r="885" spans="4:4" s="1" customFormat="1" x14ac:dyDescent="0.2">
      <c r="D885" s="15"/>
    </row>
    <row r="887" spans="4:4" s="1" customFormat="1" x14ac:dyDescent="0.2">
      <c r="D887" s="15"/>
    </row>
    <row r="888" spans="4:4" s="1" customFormat="1" x14ac:dyDescent="0.2">
      <c r="D888" s="15"/>
    </row>
    <row r="890" spans="4:4" s="1" customFormat="1" x14ac:dyDescent="0.2">
      <c r="D890" s="15"/>
    </row>
    <row r="891" spans="4:4" s="1" customFormat="1" x14ac:dyDescent="0.2">
      <c r="D891" s="15"/>
    </row>
    <row r="893" spans="4:4" s="1" customFormat="1" x14ac:dyDescent="0.2">
      <c r="D893" s="15"/>
    </row>
    <row r="894" spans="4:4" s="1" customFormat="1" x14ac:dyDescent="0.2">
      <c r="D894" s="15"/>
    </row>
    <row r="896" spans="4:4" s="1" customFormat="1" x14ac:dyDescent="0.2">
      <c r="D896" s="15"/>
    </row>
    <row r="897" spans="4:4" s="1" customFormat="1" x14ac:dyDescent="0.2">
      <c r="D897" s="15"/>
    </row>
    <row r="899" spans="4:4" s="1" customFormat="1" x14ac:dyDescent="0.2">
      <c r="D899" s="15"/>
    </row>
    <row r="900" spans="4:4" s="1" customFormat="1" x14ac:dyDescent="0.2">
      <c r="D900" s="15"/>
    </row>
    <row r="903" spans="4:4" s="1" customFormat="1" x14ac:dyDescent="0.2">
      <c r="D903" s="15"/>
    </row>
    <row r="904" spans="4:4" s="1" customFormat="1" x14ac:dyDescent="0.2">
      <c r="D904" s="15"/>
    </row>
    <row r="906" spans="4:4" s="1" customFormat="1" x14ac:dyDescent="0.2">
      <c r="D906" s="15"/>
    </row>
    <row r="907" spans="4:4" s="1" customFormat="1" x14ac:dyDescent="0.2">
      <c r="D907" s="15"/>
    </row>
    <row r="909" spans="4:4" s="1" customFormat="1" x14ac:dyDescent="0.2">
      <c r="D909" s="15"/>
    </row>
    <row r="910" spans="4:4" s="1" customFormat="1" x14ac:dyDescent="0.2">
      <c r="D910" s="15"/>
    </row>
    <row r="911" spans="4:4" s="1" customFormat="1" x14ac:dyDescent="0.2">
      <c r="D911" s="17"/>
    </row>
    <row r="912" spans="4:4" s="1" customFormat="1" x14ac:dyDescent="0.2">
      <c r="D912" s="15"/>
    </row>
    <row r="913" spans="4:4" s="1" customFormat="1" x14ac:dyDescent="0.2">
      <c r="D913" s="15"/>
    </row>
    <row r="917" spans="4:4" s="1" customFormat="1" x14ac:dyDescent="0.2">
      <c r="D917" s="17"/>
    </row>
    <row r="918" spans="4:4" s="1" customFormat="1" x14ac:dyDescent="0.2">
      <c r="D918" s="15"/>
    </row>
    <row r="942" spans="4:4" s="1" customFormat="1" x14ac:dyDescent="0.2">
      <c r="D942" s="17"/>
    </row>
    <row r="943" spans="4:4" s="1" customFormat="1" x14ac:dyDescent="0.2">
      <c r="D943" s="15"/>
    </row>
    <row r="947" spans="4:4" s="1" customFormat="1" x14ac:dyDescent="0.2">
      <c r="D947" s="17"/>
    </row>
    <row r="948" spans="4:4" s="1" customFormat="1" x14ac:dyDescent="0.2">
      <c r="D948" s="15"/>
    </row>
    <row r="949" spans="4:4" s="1" customFormat="1" x14ac:dyDescent="0.2">
      <c r="D949" s="15"/>
    </row>
    <row r="950" spans="4:4" s="1" customFormat="1" x14ac:dyDescent="0.2">
      <c r="D950" s="15"/>
    </row>
    <row r="951" spans="4:4" s="1" customFormat="1" x14ac:dyDescent="0.2">
      <c r="D951" s="15"/>
    </row>
    <row r="952" spans="4:4" s="1" customFormat="1" x14ac:dyDescent="0.2">
      <c r="D952" s="15"/>
    </row>
    <row r="953" spans="4:4" s="1" customFormat="1" x14ac:dyDescent="0.2">
      <c r="D953" s="15"/>
    </row>
    <row r="954" spans="4:4" s="1" customFormat="1" x14ac:dyDescent="0.2">
      <c r="D954" s="15"/>
    </row>
    <row r="955" spans="4:4" s="1" customFormat="1" x14ac:dyDescent="0.2">
      <c r="D955" s="15"/>
    </row>
    <row r="956" spans="4:4" s="1" customFormat="1" x14ac:dyDescent="0.2">
      <c r="D956" s="15"/>
    </row>
    <row r="957" spans="4:4" s="1" customFormat="1" x14ac:dyDescent="0.2">
      <c r="D957" s="15"/>
    </row>
    <row r="958" spans="4:4" s="1" customFormat="1" x14ac:dyDescent="0.2">
      <c r="D958" s="15"/>
    </row>
    <row r="959" spans="4:4" s="1" customFormat="1" x14ac:dyDescent="0.2">
      <c r="D959" s="15"/>
    </row>
    <row r="960" spans="4:4" s="1" customFormat="1" x14ac:dyDescent="0.2">
      <c r="D960" s="15"/>
    </row>
    <row r="961" spans="4:4" s="1" customFormat="1" x14ac:dyDescent="0.2">
      <c r="D961" s="15"/>
    </row>
    <row r="962" spans="4:4" s="1" customFormat="1" x14ac:dyDescent="0.2">
      <c r="D962" s="15"/>
    </row>
    <row r="963" spans="4:4" s="1" customFormat="1" x14ac:dyDescent="0.2">
      <c r="D963" s="15"/>
    </row>
    <row r="964" spans="4:4" s="1" customFormat="1" x14ac:dyDescent="0.2">
      <c r="D964" s="15"/>
    </row>
    <row r="976" spans="4:4" s="1" customFormat="1" x14ac:dyDescent="0.2"/>
    <row r="977" s="1" customFormat="1" x14ac:dyDescent="0.2"/>
    <row r="978" s="1" customFormat="1" x14ac:dyDescent="0.2"/>
    <row r="979" s="1" customFormat="1" x14ac:dyDescent="0.2"/>
    <row r="980" s="1" customFormat="1" x14ac:dyDescent="0.2"/>
    <row r="981" s="1" customFormat="1" x14ac:dyDescent="0.2"/>
    <row r="982" s="1" customFormat="1" x14ac:dyDescent="0.2"/>
    <row r="983" s="1" customFormat="1" x14ac:dyDescent="0.2"/>
    <row r="984" s="1" customFormat="1" x14ac:dyDescent="0.2"/>
    <row r="985" s="1" customFormat="1" x14ac:dyDescent="0.2"/>
    <row r="986" s="1" customFormat="1" x14ac:dyDescent="0.2"/>
    <row r="987" s="1" customFormat="1" x14ac:dyDescent="0.2"/>
    <row r="988" s="1" customFormat="1" x14ac:dyDescent="0.2"/>
    <row r="989" s="1" customFormat="1" x14ac:dyDescent="0.2"/>
    <row r="990" s="1" customFormat="1" x14ac:dyDescent="0.2"/>
    <row r="991" s="1" customFormat="1" x14ac:dyDescent="0.2"/>
    <row r="992" s="1" customFormat="1" x14ac:dyDescent="0.2"/>
    <row r="993" s="1" customFormat="1" x14ac:dyDescent="0.2"/>
    <row r="994" s="1" customFormat="1" x14ac:dyDescent="0.2"/>
    <row r="995" s="1" customFormat="1" x14ac:dyDescent="0.2"/>
    <row r="996" s="1" customFormat="1" x14ac:dyDescent="0.2"/>
    <row r="997" s="1" customFormat="1" x14ac:dyDescent="0.2"/>
    <row r="998" s="1" customFormat="1" x14ac:dyDescent="0.2"/>
    <row r="999" s="1" customFormat="1" x14ac:dyDescent="0.2"/>
    <row r="1000" s="1" customFormat="1" x14ac:dyDescent="0.2"/>
    <row r="1001" s="1" customFormat="1" x14ac:dyDescent="0.2"/>
    <row r="1002" s="1" customFormat="1" x14ac:dyDescent="0.2"/>
    <row r="1003" s="1" customFormat="1" x14ac:dyDescent="0.2"/>
    <row r="1004" s="1" customFormat="1" x14ac:dyDescent="0.2"/>
    <row r="1005" s="1" customFormat="1" x14ac:dyDescent="0.2"/>
    <row r="1006" s="1" customFormat="1" x14ac:dyDescent="0.2"/>
    <row r="1007" s="1" customFormat="1" x14ac:dyDescent="0.2"/>
    <row r="1008" s="1" customFormat="1" x14ac:dyDescent="0.2"/>
    <row r="1009" s="1" customFormat="1" x14ac:dyDescent="0.2"/>
    <row r="1010" s="1" customFormat="1" x14ac:dyDescent="0.2"/>
    <row r="1011" s="1" customFormat="1" x14ac:dyDescent="0.2"/>
    <row r="1012" s="1" customFormat="1" x14ac:dyDescent="0.2"/>
    <row r="1013" s="1" customFormat="1" x14ac:dyDescent="0.2"/>
    <row r="1014" s="1" customFormat="1" x14ac:dyDescent="0.2"/>
    <row r="1015" s="1" customFormat="1" x14ac:dyDescent="0.2"/>
    <row r="1016" s="1" customFormat="1" x14ac:dyDescent="0.2"/>
    <row r="1017" s="1" customFormat="1" x14ac:dyDescent="0.2"/>
    <row r="1018" s="1" customFormat="1" x14ac:dyDescent="0.2"/>
    <row r="1019" s="1" customFormat="1" x14ac:dyDescent="0.2"/>
    <row r="1020" s="1" customFormat="1" x14ac:dyDescent="0.2"/>
    <row r="1021" s="1" customFormat="1" x14ac:dyDescent="0.2"/>
    <row r="1022" s="1" customFormat="1" x14ac:dyDescent="0.2"/>
    <row r="1023" s="1" customFormat="1" x14ac:dyDescent="0.2"/>
    <row r="1024" s="1" customFormat="1" x14ac:dyDescent="0.2"/>
    <row r="1025" s="1" customFormat="1" x14ac:dyDescent="0.2"/>
    <row r="1026" s="1" customFormat="1" x14ac:dyDescent="0.2"/>
    <row r="1027" s="1" customFormat="1" x14ac:dyDescent="0.2"/>
    <row r="1028" s="1" customFormat="1" x14ac:dyDescent="0.2"/>
    <row r="1029" s="1" customFormat="1" x14ac:dyDescent="0.2"/>
    <row r="1030" s="1" customFormat="1" x14ac:dyDescent="0.2"/>
    <row r="1031" s="1" customFormat="1" x14ac:dyDescent="0.2"/>
    <row r="1032" s="1" customFormat="1" x14ac:dyDescent="0.2"/>
    <row r="1033" s="1" customFormat="1" x14ac:dyDescent="0.2"/>
    <row r="1034" s="1" customFormat="1" x14ac:dyDescent="0.2"/>
    <row r="1035" s="1" customFormat="1" x14ac:dyDescent="0.2"/>
    <row r="1036" s="1" customFormat="1" x14ac:dyDescent="0.2"/>
    <row r="1037" s="1" customFormat="1" x14ac:dyDescent="0.2"/>
    <row r="1038" s="1" customFormat="1" x14ac:dyDescent="0.2"/>
    <row r="1039" s="1" customFormat="1" x14ac:dyDescent="0.2"/>
    <row r="1040" s="1" customFormat="1" x14ac:dyDescent="0.2"/>
    <row r="1041" s="1" customFormat="1" x14ac:dyDescent="0.2"/>
    <row r="1042" s="1" customFormat="1" x14ac:dyDescent="0.2"/>
    <row r="1043" s="1" customFormat="1" x14ac:dyDescent="0.2"/>
    <row r="1044" s="1" customFormat="1" x14ac:dyDescent="0.2"/>
    <row r="1045" s="1" customFormat="1" x14ac:dyDescent="0.2"/>
    <row r="1046" s="1" customFormat="1" x14ac:dyDescent="0.2"/>
    <row r="1047" s="1" customFormat="1" x14ac:dyDescent="0.2"/>
    <row r="1048" s="1" customFormat="1" x14ac:dyDescent="0.2"/>
    <row r="1049" s="1" customFormat="1" x14ac:dyDescent="0.2"/>
    <row r="1050" s="1" customFormat="1" x14ac:dyDescent="0.2"/>
    <row r="1051" s="1" customFormat="1" x14ac:dyDescent="0.2"/>
    <row r="1052" s="1" customFormat="1" x14ac:dyDescent="0.2"/>
    <row r="1053" s="1" customFormat="1" x14ac:dyDescent="0.2"/>
    <row r="1054" s="1" customFormat="1" x14ac:dyDescent="0.2"/>
    <row r="1055" s="1" customFormat="1" x14ac:dyDescent="0.2"/>
    <row r="1056" s="1" customFormat="1" x14ac:dyDescent="0.2"/>
    <row r="1057" s="1" customFormat="1" x14ac:dyDescent="0.2"/>
    <row r="1058" s="1" customFormat="1" x14ac:dyDescent="0.2"/>
    <row r="1059" s="1" customFormat="1" x14ac:dyDescent="0.2"/>
    <row r="1060" s="1" customFormat="1" x14ac:dyDescent="0.2"/>
    <row r="1061" s="1" customFormat="1" x14ac:dyDescent="0.2"/>
    <row r="1062" s="1" customFormat="1" x14ac:dyDescent="0.2"/>
    <row r="1063" s="1" customFormat="1" x14ac:dyDescent="0.2"/>
    <row r="1064" s="1" customFormat="1" x14ac:dyDescent="0.2"/>
    <row r="1065" s="1" customFormat="1" x14ac:dyDescent="0.2"/>
    <row r="1066" s="1" customFormat="1" x14ac:dyDescent="0.2"/>
    <row r="1067" s="1" customFormat="1" x14ac:dyDescent="0.2"/>
    <row r="1068" s="1" customFormat="1" x14ac:dyDescent="0.2"/>
    <row r="1069" s="1" customFormat="1" x14ac:dyDescent="0.2"/>
    <row r="1070" s="1" customFormat="1" x14ac:dyDescent="0.2"/>
    <row r="1071" s="1" customFormat="1" x14ac:dyDescent="0.2"/>
    <row r="1072" s="1" customFormat="1" x14ac:dyDescent="0.2"/>
    <row r="1073" s="1" customFormat="1" x14ac:dyDescent="0.2"/>
    <row r="1074" s="1" customFormat="1" x14ac:dyDescent="0.2"/>
    <row r="1075" s="1" customFormat="1" x14ac:dyDescent="0.2"/>
    <row r="1076" s="1" customFormat="1" x14ac:dyDescent="0.2"/>
    <row r="1077" s="1" customFormat="1" x14ac:dyDescent="0.2"/>
    <row r="1078" s="1" customFormat="1" x14ac:dyDescent="0.2"/>
    <row r="1079" s="1" customFormat="1" x14ac:dyDescent="0.2"/>
    <row r="1080" s="1" customFormat="1" x14ac:dyDescent="0.2"/>
    <row r="1081" s="1" customFormat="1" x14ac:dyDescent="0.2"/>
    <row r="1082" s="1" customFormat="1" x14ac:dyDescent="0.2"/>
    <row r="1083" s="1" customFormat="1" x14ac:dyDescent="0.2"/>
    <row r="1084" s="1" customFormat="1" x14ac:dyDescent="0.2"/>
    <row r="1085" s="1" customFormat="1" x14ac:dyDescent="0.2"/>
    <row r="1086" s="1" customFormat="1" x14ac:dyDescent="0.2"/>
    <row r="1087" s="1" customFormat="1" x14ac:dyDescent="0.2"/>
    <row r="1088" s="1" customFormat="1" x14ac:dyDescent="0.2"/>
    <row r="1089" s="1" customFormat="1" x14ac:dyDescent="0.2"/>
    <row r="1090" s="1" customFormat="1" x14ac:dyDescent="0.2"/>
    <row r="1091" s="1" customFormat="1" x14ac:dyDescent="0.2"/>
    <row r="1092" s="1" customFormat="1" x14ac:dyDescent="0.2"/>
    <row r="1093" s="1" customFormat="1" x14ac:dyDescent="0.2"/>
    <row r="1094" s="1" customFormat="1" x14ac:dyDescent="0.2"/>
    <row r="1095" s="1" customFormat="1" x14ac:dyDescent="0.2"/>
    <row r="1096" s="1" customFormat="1" x14ac:dyDescent="0.2"/>
    <row r="1097" s="1" customFormat="1" x14ac:dyDescent="0.2"/>
    <row r="1098" s="1" customFormat="1" x14ac:dyDescent="0.2"/>
    <row r="1099" s="1" customFormat="1" x14ac:dyDescent="0.2"/>
    <row r="1100" s="1" customFormat="1" x14ac:dyDescent="0.2"/>
    <row r="1101" s="1" customFormat="1" x14ac:dyDescent="0.2"/>
    <row r="1102" s="1" customFormat="1" x14ac:dyDescent="0.2"/>
    <row r="1103" s="1" customFormat="1" x14ac:dyDescent="0.2"/>
    <row r="1104" s="1" customFormat="1" x14ac:dyDescent="0.2"/>
    <row r="1105" s="1" customFormat="1" x14ac:dyDescent="0.2"/>
    <row r="1106" s="1" customFormat="1" x14ac:dyDescent="0.2"/>
    <row r="1107" s="1" customFormat="1" x14ac:dyDescent="0.2"/>
    <row r="1108" s="1" customFormat="1" x14ac:dyDescent="0.2"/>
    <row r="1109" s="1" customFormat="1" x14ac:dyDescent="0.2"/>
    <row r="1110" s="1" customFormat="1" x14ac:dyDescent="0.2"/>
    <row r="1111" s="1" customFormat="1" x14ac:dyDescent="0.2"/>
    <row r="1112" s="1" customFormat="1" x14ac:dyDescent="0.2"/>
    <row r="1113" s="1" customFormat="1" x14ac:dyDescent="0.2"/>
    <row r="1114" s="1" customFormat="1" x14ac:dyDescent="0.2"/>
    <row r="1115" s="1" customFormat="1" x14ac:dyDescent="0.2"/>
    <row r="1116" s="1" customFormat="1" x14ac:dyDescent="0.2"/>
    <row r="1117" s="1" customFormat="1" x14ac:dyDescent="0.2"/>
    <row r="1118" s="1" customFormat="1" x14ac:dyDescent="0.2"/>
    <row r="1119" s="1" customFormat="1" x14ac:dyDescent="0.2"/>
    <row r="1120" s="1" customFormat="1" x14ac:dyDescent="0.2"/>
    <row r="1121" s="1" customFormat="1" x14ac:dyDescent="0.2"/>
    <row r="1122" s="1" customFormat="1" x14ac:dyDescent="0.2"/>
    <row r="1123" s="1" customFormat="1" x14ac:dyDescent="0.2"/>
    <row r="1124" s="1" customFormat="1" x14ac:dyDescent="0.2"/>
    <row r="1125" s="1" customFormat="1" x14ac:dyDescent="0.2"/>
    <row r="1126" s="1" customFormat="1" x14ac:dyDescent="0.2"/>
    <row r="1127" s="1" customFormat="1" x14ac:dyDescent="0.2"/>
    <row r="1128" s="1" customFormat="1" x14ac:dyDescent="0.2"/>
    <row r="1129" s="1" customFormat="1" x14ac:dyDescent="0.2"/>
    <row r="1130" s="1" customFormat="1" x14ac:dyDescent="0.2"/>
    <row r="1131" s="1" customFormat="1" x14ac:dyDescent="0.2"/>
    <row r="1132" s="1" customFormat="1" x14ac:dyDescent="0.2"/>
    <row r="1133" s="1" customFormat="1" x14ac:dyDescent="0.2"/>
    <row r="1134" s="1" customFormat="1" x14ac:dyDescent="0.2"/>
    <row r="1135" s="1" customFormat="1" x14ac:dyDescent="0.2"/>
    <row r="1136" s="1" customFormat="1" x14ac:dyDescent="0.2"/>
    <row r="1137" s="1" customFormat="1" x14ac:dyDescent="0.2"/>
    <row r="1138" s="1" customFormat="1" x14ac:dyDescent="0.2"/>
    <row r="1139" s="1" customFormat="1" x14ac:dyDescent="0.2"/>
    <row r="1140" s="1" customFormat="1" x14ac:dyDescent="0.2"/>
    <row r="1141" s="1" customFormat="1" x14ac:dyDescent="0.2"/>
    <row r="1142" s="1" customFormat="1" x14ac:dyDescent="0.2"/>
    <row r="1143" s="1" customFormat="1" x14ac:dyDescent="0.2"/>
    <row r="1144" s="1" customFormat="1" x14ac:dyDescent="0.2"/>
    <row r="1145" s="1" customFormat="1" x14ac:dyDescent="0.2"/>
    <row r="1146" s="1" customFormat="1" x14ac:dyDescent="0.2"/>
    <row r="1147" s="1" customFormat="1" x14ac:dyDescent="0.2"/>
    <row r="1148" s="1" customFormat="1" x14ac:dyDescent="0.2"/>
    <row r="1149" s="1" customFormat="1" x14ac:dyDescent="0.2"/>
    <row r="1150" s="1" customFormat="1" x14ac:dyDescent="0.2"/>
    <row r="1151" s="1" customFormat="1" x14ac:dyDescent="0.2"/>
    <row r="1152" s="1" customFormat="1" x14ac:dyDescent="0.2"/>
    <row r="1153" s="1" customFormat="1" x14ac:dyDescent="0.2"/>
    <row r="1154" s="1" customFormat="1" x14ac:dyDescent="0.2"/>
    <row r="1155" s="1" customFormat="1" x14ac:dyDescent="0.2"/>
    <row r="1156" s="1" customFormat="1" x14ac:dyDescent="0.2"/>
    <row r="1157" s="1" customFormat="1" x14ac:dyDescent="0.2"/>
    <row r="1158" s="1" customFormat="1" x14ac:dyDescent="0.2"/>
    <row r="1159" s="1" customFormat="1" x14ac:dyDescent="0.2"/>
    <row r="1160" s="1" customFormat="1" x14ac:dyDescent="0.2"/>
    <row r="1161" s="1" customFormat="1" x14ac:dyDescent="0.2"/>
    <row r="1162" s="1" customFormat="1" x14ac:dyDescent="0.2"/>
    <row r="1163" s="1" customFormat="1" x14ac:dyDescent="0.2"/>
    <row r="1164" s="1" customFormat="1" x14ac:dyDescent="0.2"/>
    <row r="1165" s="1" customFormat="1" x14ac:dyDescent="0.2"/>
    <row r="1166" s="1" customFormat="1" x14ac:dyDescent="0.2"/>
    <row r="1167" s="1" customFormat="1" x14ac:dyDescent="0.2"/>
    <row r="1168" s="1" customFormat="1" x14ac:dyDescent="0.2"/>
    <row r="1169" s="1" customFormat="1" x14ac:dyDescent="0.2"/>
    <row r="1170" s="1" customFormat="1" x14ac:dyDescent="0.2"/>
    <row r="1171" s="1" customFormat="1" x14ac:dyDescent="0.2"/>
    <row r="1172" s="1" customFormat="1" x14ac:dyDescent="0.2"/>
    <row r="1173" s="1" customFormat="1" x14ac:dyDescent="0.2"/>
    <row r="1174" s="1" customFormat="1" x14ac:dyDescent="0.2"/>
    <row r="1175" s="1" customFormat="1" x14ac:dyDescent="0.2"/>
    <row r="1176" s="1" customFormat="1" x14ac:dyDescent="0.2"/>
    <row r="1177" s="1" customFormat="1" x14ac:dyDescent="0.2"/>
    <row r="1178" s="1" customFormat="1" x14ac:dyDescent="0.2"/>
    <row r="1179" s="1" customFormat="1" x14ac:dyDescent="0.2"/>
    <row r="1180" s="1" customFormat="1" x14ac:dyDescent="0.2"/>
    <row r="1181" s="1" customFormat="1" x14ac:dyDescent="0.2"/>
    <row r="1182" s="1" customFormat="1" x14ac:dyDescent="0.2"/>
    <row r="1183" s="1" customFormat="1" x14ac:dyDescent="0.2"/>
    <row r="1184" s="1" customFormat="1" x14ac:dyDescent="0.2"/>
    <row r="1185" s="1" customFormat="1" x14ac:dyDescent="0.2"/>
    <row r="1186" s="1" customFormat="1" x14ac:dyDescent="0.2"/>
    <row r="1187" s="1" customFormat="1" x14ac:dyDescent="0.2"/>
    <row r="1188" s="1" customFormat="1" x14ac:dyDescent="0.2"/>
    <row r="1189" s="1" customFormat="1" x14ac:dyDescent="0.2"/>
    <row r="1190" s="1" customFormat="1" x14ac:dyDescent="0.2"/>
    <row r="1191" s="1" customFormat="1" x14ac:dyDescent="0.2"/>
    <row r="1192" s="1" customFormat="1" x14ac:dyDescent="0.2"/>
    <row r="1193" s="1" customFormat="1" x14ac:dyDescent="0.2"/>
    <row r="1194" s="1" customFormat="1" x14ac:dyDescent="0.2"/>
    <row r="1195" s="1" customFormat="1" x14ac:dyDescent="0.2"/>
    <row r="1196" s="1" customFormat="1" x14ac:dyDescent="0.2"/>
    <row r="1197" s="1" customFormat="1" x14ac:dyDescent="0.2"/>
    <row r="1198" s="1" customFormat="1" x14ac:dyDescent="0.2"/>
    <row r="1199" s="1" customFormat="1" x14ac:dyDescent="0.2"/>
    <row r="1200" s="1" customFormat="1" x14ac:dyDescent="0.2"/>
    <row r="1201" s="1" customFormat="1" x14ac:dyDescent="0.2"/>
    <row r="1202" s="1" customFormat="1" x14ac:dyDescent="0.2"/>
    <row r="1203" s="1" customFormat="1" x14ac:dyDescent="0.2"/>
    <row r="1204" s="1" customFormat="1" x14ac:dyDescent="0.2"/>
    <row r="1205" s="1" customFormat="1" x14ac:dyDescent="0.2"/>
    <row r="1206" s="1" customFormat="1" x14ac:dyDescent="0.2"/>
    <row r="1207" s="1" customFormat="1" x14ac:dyDescent="0.2"/>
    <row r="1208" s="1" customFormat="1" x14ac:dyDescent="0.2"/>
    <row r="1209" s="1" customFormat="1" x14ac:dyDescent="0.2"/>
    <row r="1210" s="1" customFormat="1" x14ac:dyDescent="0.2"/>
    <row r="1211" s="1" customFormat="1" x14ac:dyDescent="0.2"/>
    <row r="1212" s="1" customFormat="1" x14ac:dyDescent="0.2"/>
    <row r="1213" s="1" customFormat="1" x14ac:dyDescent="0.2"/>
    <row r="1214" s="1" customFormat="1" x14ac:dyDescent="0.2"/>
    <row r="1215" s="1" customFormat="1" x14ac:dyDescent="0.2"/>
    <row r="1216" s="1" customFormat="1" x14ac:dyDescent="0.2"/>
    <row r="1217" s="1" customFormat="1" x14ac:dyDescent="0.2"/>
    <row r="1218" s="1" customFormat="1" x14ac:dyDescent="0.2"/>
    <row r="1219" s="1" customFormat="1" x14ac:dyDescent="0.2"/>
    <row r="1220" s="1" customFormat="1" x14ac:dyDescent="0.2"/>
    <row r="1221" s="1" customFormat="1" x14ac:dyDescent="0.2"/>
    <row r="1222" s="1" customFormat="1" x14ac:dyDescent="0.2"/>
    <row r="1223" s="1" customFormat="1" x14ac:dyDescent="0.2"/>
    <row r="1224" s="1" customFormat="1" x14ac:dyDescent="0.2"/>
    <row r="1225" s="1" customFormat="1" x14ac:dyDescent="0.2"/>
    <row r="1226" s="1" customFormat="1" x14ac:dyDescent="0.2"/>
    <row r="1227" s="1" customFormat="1" x14ac:dyDescent="0.2"/>
    <row r="1228" s="1" customFormat="1" x14ac:dyDescent="0.2"/>
    <row r="1229" s="1" customFormat="1" x14ac:dyDescent="0.2"/>
    <row r="1230" s="1" customFormat="1" x14ac:dyDescent="0.2"/>
    <row r="1231" s="1" customFormat="1" x14ac:dyDescent="0.2"/>
    <row r="1232" s="1" customFormat="1" x14ac:dyDescent="0.2"/>
    <row r="1233" s="1" customFormat="1" x14ac:dyDescent="0.2"/>
    <row r="1234" s="1" customFormat="1" x14ac:dyDescent="0.2"/>
    <row r="1235" s="1" customFormat="1" x14ac:dyDescent="0.2"/>
    <row r="1236" s="1" customFormat="1" x14ac:dyDescent="0.2"/>
    <row r="1237" s="1" customFormat="1" x14ac:dyDescent="0.2"/>
    <row r="1238" s="1" customFormat="1" x14ac:dyDescent="0.2"/>
    <row r="1239" s="1" customFormat="1" x14ac:dyDescent="0.2"/>
    <row r="1240" s="1" customFormat="1" x14ac:dyDescent="0.2"/>
    <row r="1241" s="1" customFormat="1" x14ac:dyDescent="0.2"/>
    <row r="1242" s="1" customFormat="1" x14ac:dyDescent="0.2"/>
    <row r="1243" s="1" customFormat="1" x14ac:dyDescent="0.2"/>
    <row r="1244" s="1" customFormat="1" x14ac:dyDescent="0.2"/>
    <row r="1245" s="1" customFormat="1" x14ac:dyDescent="0.2"/>
    <row r="1246" s="1" customFormat="1" x14ac:dyDescent="0.2"/>
    <row r="1247" s="1" customFormat="1" x14ac:dyDescent="0.2"/>
    <row r="1248" s="1" customFormat="1" x14ac:dyDescent="0.2"/>
    <row r="1249" s="1" customFormat="1" x14ac:dyDescent="0.2"/>
    <row r="1250" s="1" customFormat="1" x14ac:dyDescent="0.2"/>
    <row r="1251" s="1" customFormat="1" x14ac:dyDescent="0.2"/>
    <row r="1252" s="1" customFormat="1" x14ac:dyDescent="0.2"/>
    <row r="1253" s="1" customFormat="1" x14ac:dyDescent="0.2"/>
    <row r="1254" s="1" customFormat="1" x14ac:dyDescent="0.2"/>
    <row r="1255" s="1" customFormat="1" x14ac:dyDescent="0.2"/>
    <row r="1256" s="1" customFormat="1" x14ac:dyDescent="0.2"/>
    <row r="1257" s="1" customFormat="1" x14ac:dyDescent="0.2"/>
    <row r="1258" s="1" customFormat="1" x14ac:dyDescent="0.2"/>
    <row r="1259" s="1" customFormat="1" x14ac:dyDescent="0.2"/>
    <row r="1260" s="1" customFormat="1" x14ac:dyDescent="0.2"/>
    <row r="1261" s="1" customFormat="1" x14ac:dyDescent="0.2"/>
    <row r="1262" s="1" customFormat="1" x14ac:dyDescent="0.2"/>
    <row r="1263" s="1" customFormat="1" x14ac:dyDescent="0.2"/>
    <row r="1264" s="1" customFormat="1" x14ac:dyDescent="0.2"/>
    <row r="1265" s="1" customFormat="1" x14ac:dyDescent="0.2"/>
    <row r="1266" s="1" customFormat="1" x14ac:dyDescent="0.2"/>
    <row r="1267" s="1" customFormat="1" x14ac:dyDescent="0.2"/>
    <row r="1268" s="1" customFormat="1" x14ac:dyDescent="0.2"/>
    <row r="1269" s="1" customFormat="1" x14ac:dyDescent="0.2"/>
    <row r="1270" s="1" customFormat="1" x14ac:dyDescent="0.2"/>
    <row r="1271" s="1" customFormat="1" x14ac:dyDescent="0.2"/>
    <row r="1272" s="1" customFormat="1" x14ac:dyDescent="0.2"/>
    <row r="1273" s="1" customFormat="1" x14ac:dyDescent="0.2"/>
    <row r="1274" s="1" customFormat="1" x14ac:dyDescent="0.2"/>
    <row r="1275" s="1" customFormat="1" x14ac:dyDescent="0.2"/>
    <row r="1276" s="1" customFormat="1" x14ac:dyDescent="0.2"/>
    <row r="1277" s="1" customFormat="1" x14ac:dyDescent="0.2"/>
    <row r="1278" s="1" customFormat="1" x14ac:dyDescent="0.2"/>
    <row r="1279" s="1" customFormat="1" x14ac:dyDescent="0.2"/>
    <row r="1280" s="1" customFormat="1" x14ac:dyDescent="0.2"/>
    <row r="1281" s="1" customFormat="1" x14ac:dyDescent="0.2"/>
    <row r="1282" s="1" customFormat="1" x14ac:dyDescent="0.2"/>
    <row r="1283" s="1" customFormat="1" x14ac:dyDescent="0.2"/>
    <row r="1284" s="1" customFormat="1" x14ac:dyDescent="0.2"/>
    <row r="1285" s="1" customFormat="1" x14ac:dyDescent="0.2"/>
    <row r="1286" s="1" customFormat="1" x14ac:dyDescent="0.2"/>
    <row r="1287" s="1" customFormat="1" x14ac:dyDescent="0.2"/>
    <row r="1288" s="1" customFormat="1" x14ac:dyDescent="0.2"/>
    <row r="1289" s="1" customFormat="1" x14ac:dyDescent="0.2"/>
    <row r="1290" s="1" customFormat="1" x14ac:dyDescent="0.2"/>
    <row r="1291" s="1" customFormat="1" x14ac:dyDescent="0.2"/>
    <row r="1292" s="1" customFormat="1" x14ac:dyDescent="0.2"/>
    <row r="1293" s="1" customFormat="1" x14ac:dyDescent="0.2"/>
    <row r="1294" s="1" customFormat="1" x14ac:dyDescent="0.2"/>
    <row r="1295" s="1" customFormat="1" x14ac:dyDescent="0.2"/>
    <row r="1296" s="1" customFormat="1" x14ac:dyDescent="0.2"/>
    <row r="1297" s="1" customFormat="1" x14ac:dyDescent="0.2"/>
    <row r="1298" s="1" customFormat="1" x14ac:dyDescent="0.2"/>
    <row r="1299" s="1" customFormat="1" x14ac:dyDescent="0.2"/>
    <row r="1300" s="1" customFormat="1" x14ac:dyDescent="0.2"/>
    <row r="1301" s="1" customFormat="1" x14ac:dyDescent="0.2"/>
    <row r="1302" s="1" customFormat="1" x14ac:dyDescent="0.2"/>
    <row r="1303" s="1" customFormat="1" x14ac:dyDescent="0.2"/>
    <row r="1304" s="1" customFormat="1" x14ac:dyDescent="0.2"/>
    <row r="1305" s="1" customFormat="1" x14ac:dyDescent="0.2"/>
    <row r="1306" s="1" customFormat="1" x14ac:dyDescent="0.2"/>
    <row r="1307" s="1" customFormat="1" x14ac:dyDescent="0.2"/>
    <row r="1308" s="1" customFormat="1" x14ac:dyDescent="0.2"/>
    <row r="1309" s="1" customFormat="1" x14ac:dyDescent="0.2"/>
    <row r="1310" s="1" customFormat="1" x14ac:dyDescent="0.2"/>
    <row r="1311" s="1" customFormat="1" x14ac:dyDescent="0.2"/>
    <row r="1312" s="1" customFormat="1" x14ac:dyDescent="0.2"/>
    <row r="1313" s="1" customFormat="1" x14ac:dyDescent="0.2"/>
    <row r="1314" s="1" customFormat="1" x14ac:dyDescent="0.2"/>
    <row r="1315" s="1" customFormat="1" x14ac:dyDescent="0.2"/>
    <row r="1316" s="1" customFormat="1" x14ac:dyDescent="0.2"/>
    <row r="1317" s="1" customFormat="1" x14ac:dyDescent="0.2"/>
    <row r="1318" s="1" customFormat="1" x14ac:dyDescent="0.2"/>
    <row r="1319" s="1" customFormat="1" x14ac:dyDescent="0.2"/>
    <row r="1320" s="1" customFormat="1" x14ac:dyDescent="0.2"/>
    <row r="1321" s="1" customFormat="1" x14ac:dyDescent="0.2"/>
    <row r="1322" s="1" customFormat="1" x14ac:dyDescent="0.2"/>
    <row r="1323" s="1" customFormat="1" x14ac:dyDescent="0.2"/>
    <row r="1324" s="1" customFormat="1" x14ac:dyDescent="0.2"/>
    <row r="1325" s="1" customFormat="1" x14ac:dyDescent="0.2"/>
    <row r="1326" s="1" customFormat="1" x14ac:dyDescent="0.2"/>
    <row r="1327" s="1" customFormat="1" x14ac:dyDescent="0.2"/>
    <row r="1328" s="1" customFormat="1" x14ac:dyDescent="0.2"/>
    <row r="1329" s="1" customFormat="1" x14ac:dyDescent="0.2"/>
    <row r="1330" s="1" customFormat="1" x14ac:dyDescent="0.2"/>
    <row r="1331" s="1" customFormat="1" x14ac:dyDescent="0.2"/>
    <row r="1332" s="1" customFormat="1" x14ac:dyDescent="0.2"/>
    <row r="1333" s="1" customFormat="1" x14ac:dyDescent="0.2"/>
    <row r="1334" s="1" customFormat="1" x14ac:dyDescent="0.2"/>
    <row r="1335" s="1" customFormat="1" x14ac:dyDescent="0.2"/>
    <row r="1336" s="1" customFormat="1" x14ac:dyDescent="0.2"/>
    <row r="1337" s="1" customFormat="1" x14ac:dyDescent="0.2"/>
    <row r="1338" s="1" customFormat="1" x14ac:dyDescent="0.2"/>
    <row r="1339" s="1" customFormat="1" x14ac:dyDescent="0.2"/>
    <row r="1340" s="1" customFormat="1" x14ac:dyDescent="0.2"/>
    <row r="1341" s="1" customFormat="1" x14ac:dyDescent="0.2"/>
    <row r="1342" s="1" customFormat="1" x14ac:dyDescent="0.2"/>
    <row r="1343" s="1" customFormat="1" x14ac:dyDescent="0.2"/>
    <row r="1344" s="1" customFormat="1" x14ac:dyDescent="0.2"/>
    <row r="1345" s="1" customFormat="1" x14ac:dyDescent="0.2"/>
    <row r="1346" s="1" customFormat="1" x14ac:dyDescent="0.2"/>
    <row r="1347" s="1" customFormat="1" x14ac:dyDescent="0.2"/>
    <row r="1348" s="1" customFormat="1" x14ac:dyDescent="0.2"/>
    <row r="1349" s="1" customFormat="1" x14ac:dyDescent="0.2"/>
    <row r="1350" s="1" customFormat="1" x14ac:dyDescent="0.2"/>
    <row r="1351" s="1" customFormat="1" x14ac:dyDescent="0.2"/>
    <row r="1352" s="1" customFormat="1" x14ac:dyDescent="0.2"/>
    <row r="1353" s="1" customFormat="1" x14ac:dyDescent="0.2"/>
    <row r="1354" s="1" customFormat="1" x14ac:dyDescent="0.2"/>
    <row r="1355" s="1" customFormat="1" x14ac:dyDescent="0.2"/>
    <row r="1356" s="1" customFormat="1" x14ac:dyDescent="0.2"/>
    <row r="1357" s="1" customFormat="1" x14ac:dyDescent="0.2"/>
    <row r="1358" s="1" customFormat="1" x14ac:dyDescent="0.2"/>
    <row r="1359" s="1" customFormat="1" x14ac:dyDescent="0.2"/>
    <row r="1360" s="1" customFormat="1" x14ac:dyDescent="0.2"/>
    <row r="1361" s="1" customFormat="1" x14ac:dyDescent="0.2"/>
    <row r="1362" s="1" customFormat="1" x14ac:dyDescent="0.2"/>
    <row r="1363" s="1" customFormat="1" x14ac:dyDescent="0.2"/>
    <row r="1364" s="1" customFormat="1" x14ac:dyDescent="0.2"/>
    <row r="1365" s="1" customFormat="1" x14ac:dyDescent="0.2"/>
    <row r="1366" s="1" customFormat="1" x14ac:dyDescent="0.2"/>
    <row r="1367" s="1" customFormat="1" x14ac:dyDescent="0.2"/>
    <row r="1368" s="1" customFormat="1" x14ac:dyDescent="0.2"/>
    <row r="1369" s="1" customFormat="1" x14ac:dyDescent="0.2"/>
    <row r="1370" s="1" customFormat="1" x14ac:dyDescent="0.2"/>
    <row r="1371" s="1" customFormat="1" x14ac:dyDescent="0.2"/>
    <row r="1372" s="1" customFormat="1" x14ac:dyDescent="0.2"/>
    <row r="1373" s="1" customFormat="1" x14ac:dyDescent="0.2"/>
    <row r="1374" s="1" customFormat="1" x14ac:dyDescent="0.2"/>
    <row r="1375" s="1" customFormat="1" x14ac:dyDescent="0.2"/>
    <row r="1376" s="1" customFormat="1" x14ac:dyDescent="0.2"/>
    <row r="1377" s="1" customFormat="1" x14ac:dyDescent="0.2"/>
    <row r="1378" s="1" customFormat="1" x14ac:dyDescent="0.2"/>
    <row r="1379" s="1" customFormat="1" x14ac:dyDescent="0.2"/>
    <row r="1380" s="1" customFormat="1" x14ac:dyDescent="0.2"/>
    <row r="1381" s="1" customFormat="1" x14ac:dyDescent="0.2"/>
    <row r="1382" s="1" customFormat="1" x14ac:dyDescent="0.2"/>
    <row r="1383" s="1" customFormat="1" x14ac:dyDescent="0.2"/>
    <row r="1384" s="1" customFormat="1" x14ac:dyDescent="0.2"/>
    <row r="1385" s="1" customFormat="1" x14ac:dyDescent="0.2"/>
    <row r="1386" s="1" customFormat="1" x14ac:dyDescent="0.2"/>
    <row r="1387" s="1" customFormat="1" x14ac:dyDescent="0.2"/>
    <row r="1388" s="1" customFormat="1" x14ac:dyDescent="0.2"/>
    <row r="1389" s="1" customFormat="1" x14ac:dyDescent="0.2"/>
    <row r="1390" s="1" customFormat="1" x14ac:dyDescent="0.2"/>
    <row r="1391" s="1" customFormat="1" x14ac:dyDescent="0.2"/>
    <row r="1392" s="1" customFormat="1" x14ac:dyDescent="0.2"/>
    <row r="1393" s="1" customFormat="1" x14ac:dyDescent="0.2"/>
    <row r="1394" s="1" customFormat="1" x14ac:dyDescent="0.2"/>
    <row r="1395" s="1" customFormat="1" x14ac:dyDescent="0.2"/>
    <row r="1396" s="1" customFormat="1" x14ac:dyDescent="0.2"/>
    <row r="1397" s="1" customFormat="1" x14ac:dyDescent="0.2"/>
    <row r="1398" s="1" customFormat="1" x14ac:dyDescent="0.2"/>
    <row r="1399" s="1" customFormat="1" x14ac:dyDescent="0.2"/>
    <row r="1400" s="1" customFormat="1" x14ac:dyDescent="0.2"/>
    <row r="1401" s="1" customFormat="1" x14ac:dyDescent="0.2"/>
    <row r="1402" s="1" customFormat="1" x14ac:dyDescent="0.2"/>
    <row r="1403" s="1" customFormat="1" x14ac:dyDescent="0.2"/>
    <row r="1404" s="1" customFormat="1" x14ac:dyDescent="0.2"/>
    <row r="1405" s="1" customFormat="1" x14ac:dyDescent="0.2"/>
    <row r="1406" s="1" customFormat="1" x14ac:dyDescent="0.2"/>
    <row r="1407" s="1" customFormat="1" x14ac:dyDescent="0.2"/>
    <row r="1408" s="1" customFormat="1" x14ac:dyDescent="0.2"/>
    <row r="1409" s="1" customFormat="1" x14ac:dyDescent="0.2"/>
    <row r="1410" s="1" customFormat="1" x14ac:dyDescent="0.2"/>
    <row r="1411" s="1" customFormat="1" x14ac:dyDescent="0.2"/>
    <row r="1412" s="1" customFormat="1" x14ac:dyDescent="0.2"/>
    <row r="1413" s="1" customFormat="1" x14ac:dyDescent="0.2"/>
    <row r="1414" s="1" customFormat="1" x14ac:dyDescent="0.2"/>
    <row r="1415" s="1" customFormat="1" x14ac:dyDescent="0.2"/>
    <row r="1416" s="1" customFormat="1" x14ac:dyDescent="0.2"/>
    <row r="1417" s="1" customFormat="1" x14ac:dyDescent="0.2"/>
    <row r="1418" s="1" customFormat="1" x14ac:dyDescent="0.2"/>
    <row r="1419" s="1" customFormat="1" x14ac:dyDescent="0.2"/>
    <row r="1420" s="1" customFormat="1" x14ac:dyDescent="0.2"/>
    <row r="1421" s="1" customFormat="1" x14ac:dyDescent="0.2"/>
    <row r="1422" s="1" customFormat="1" x14ac:dyDescent="0.2"/>
    <row r="1423" s="1" customFormat="1" x14ac:dyDescent="0.2"/>
    <row r="1424" s="1" customFormat="1" x14ac:dyDescent="0.2"/>
    <row r="1425" s="1" customFormat="1" x14ac:dyDescent="0.2"/>
    <row r="1426" s="1" customFormat="1" x14ac:dyDescent="0.2"/>
    <row r="1427" s="1" customFormat="1" x14ac:dyDescent="0.2"/>
    <row r="1428" s="1" customFormat="1" x14ac:dyDescent="0.2"/>
    <row r="1429" s="1" customFormat="1" x14ac:dyDescent="0.2"/>
    <row r="1430" s="1" customFormat="1" x14ac:dyDescent="0.2"/>
    <row r="1431" s="1" customFormat="1" x14ac:dyDescent="0.2"/>
    <row r="1432" s="1" customFormat="1" x14ac:dyDescent="0.2"/>
    <row r="1440" s="1" customFormat="1" x14ac:dyDescent="0.2"/>
    <row r="1441" s="1" customFormat="1" x14ac:dyDescent="0.2"/>
    <row r="1442" s="1" customFormat="1" x14ac:dyDescent="0.2"/>
    <row r="1443" s="1" customFormat="1" x14ac:dyDescent="0.2"/>
    <row r="1444" s="1" customFormat="1" x14ac:dyDescent="0.2"/>
    <row r="1445" s="1" customFormat="1" x14ac:dyDescent="0.2"/>
    <row r="1446" s="1" customFormat="1" x14ac:dyDescent="0.2"/>
    <row r="1447" s="1" customFormat="1" x14ac:dyDescent="0.2"/>
    <row r="1448" s="1" customFormat="1" x14ac:dyDescent="0.2"/>
    <row r="1449" s="1" customFormat="1" x14ac:dyDescent="0.2"/>
    <row r="1450" s="1" customFormat="1" x14ac:dyDescent="0.2"/>
    <row r="1451" s="1" customFormat="1" x14ac:dyDescent="0.2"/>
    <row r="1452" s="1" customFormat="1" x14ac:dyDescent="0.2"/>
    <row r="1453" s="1" customFormat="1" x14ac:dyDescent="0.2"/>
    <row r="1454" s="1" customFormat="1" x14ac:dyDescent="0.2"/>
    <row r="1455" s="1" customFormat="1" x14ac:dyDescent="0.2"/>
    <row r="1456" s="1" customFormat="1" x14ac:dyDescent="0.2"/>
    <row r="1457" s="1" customFormat="1" x14ac:dyDescent="0.2"/>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9"/>
  <sheetViews>
    <sheetView workbookViewId="0">
      <pane ySplit="1" topLeftCell="A2" activePane="bottomLeft" state="frozen"/>
      <selection pane="bottomLeft"/>
    </sheetView>
  </sheetViews>
  <sheetFormatPr defaultRowHeight="12.75" x14ac:dyDescent="0.2"/>
  <cols>
    <col min="1" max="1" width="11.28515625" style="1" customWidth="1"/>
    <col min="2" max="2" width="12.85546875" style="1" customWidth="1"/>
    <col min="3" max="3" width="11.42578125" style="16" customWidth="1"/>
    <col min="4" max="4" width="18.7109375" style="16" bestFit="1" customWidth="1"/>
    <col min="5" max="5" width="18.28515625" style="23" customWidth="1"/>
    <col min="6" max="6" width="16.7109375" style="13" customWidth="1"/>
    <col min="7" max="7" width="17.28515625" style="13" customWidth="1"/>
    <col min="8" max="8" width="120.5703125" style="1" bestFit="1" customWidth="1"/>
    <col min="9" max="16384" width="9.140625" style="1"/>
  </cols>
  <sheetData>
    <row r="1" spans="1:8" s="7" customFormat="1" x14ac:dyDescent="0.2">
      <c r="A1" s="7" t="s">
        <v>11</v>
      </c>
      <c r="B1" s="7" t="s">
        <v>12</v>
      </c>
      <c r="C1" s="20" t="s">
        <v>340</v>
      </c>
      <c r="D1" s="20" t="s">
        <v>341</v>
      </c>
      <c r="E1" s="22" t="s">
        <v>342</v>
      </c>
      <c r="F1" s="13" t="s">
        <v>343</v>
      </c>
      <c r="G1" s="18" t="s">
        <v>344</v>
      </c>
      <c r="H1" s="7" t="s">
        <v>17</v>
      </c>
    </row>
    <row r="2" spans="1:8" x14ac:dyDescent="0.2">
      <c r="A2" s="1">
        <v>61386</v>
      </c>
      <c r="B2" s="1" t="s">
        <v>22</v>
      </c>
      <c r="C2" s="16">
        <v>1515</v>
      </c>
      <c r="D2" s="16">
        <v>146347862717</v>
      </c>
      <c r="E2" s="23">
        <v>96599249.318151847</v>
      </c>
      <c r="F2" s="13">
        <v>0</v>
      </c>
      <c r="G2" s="13">
        <v>12142036000</v>
      </c>
      <c r="H2" s="1" t="s">
        <v>24</v>
      </c>
    </row>
    <row r="3" spans="1:8" x14ac:dyDescent="0.2">
      <c r="A3" s="1">
        <v>65001</v>
      </c>
      <c r="B3" s="1" t="s">
        <v>25</v>
      </c>
      <c r="C3" s="16">
        <v>1515</v>
      </c>
      <c r="D3" s="16">
        <v>373541814110</v>
      </c>
      <c r="E3" s="23">
        <v>246562253.53795379</v>
      </c>
      <c r="F3" s="13">
        <v>0</v>
      </c>
      <c r="G3" s="13">
        <v>30669753000</v>
      </c>
      <c r="H3" s="1" t="s">
        <v>27</v>
      </c>
    </row>
    <row r="4" spans="1:8" x14ac:dyDescent="0.2">
      <c r="A4" s="1">
        <v>61401</v>
      </c>
      <c r="B4" s="1" t="s">
        <v>28</v>
      </c>
      <c r="C4" s="16">
        <v>1515</v>
      </c>
      <c r="D4" s="16">
        <v>236023601070</v>
      </c>
      <c r="E4" s="23">
        <v>155791155.8217822</v>
      </c>
      <c r="F4" s="13">
        <v>-88915721</v>
      </c>
      <c r="G4" s="13">
        <v>46422951341</v>
      </c>
      <c r="H4" s="1" t="s">
        <v>30</v>
      </c>
    </row>
    <row r="5" spans="1:8" x14ac:dyDescent="0.2">
      <c r="A5" s="1">
        <v>61406</v>
      </c>
      <c r="B5" s="1" t="s">
        <v>31</v>
      </c>
      <c r="C5" s="16">
        <v>1515</v>
      </c>
      <c r="D5" s="16">
        <v>609565415180</v>
      </c>
      <c r="E5" s="23">
        <v>402353409.35973591</v>
      </c>
      <c r="F5" s="13">
        <v>0</v>
      </c>
      <c r="G5" s="13">
        <v>57048974345</v>
      </c>
      <c r="H5" s="1" t="s">
        <v>33</v>
      </c>
    </row>
    <row r="6" spans="1:8" x14ac:dyDescent="0.2">
      <c r="A6" s="1">
        <v>61411</v>
      </c>
      <c r="B6" s="1" t="s">
        <v>34</v>
      </c>
      <c r="C6" s="16">
        <v>1515</v>
      </c>
      <c r="D6" s="16">
        <v>755913277897</v>
      </c>
      <c r="E6" s="23">
        <v>498952658.67788786</v>
      </c>
      <c r="F6" s="13">
        <v>0</v>
      </c>
      <c r="G6" s="13">
        <v>62984270000</v>
      </c>
      <c r="H6" s="1" t="s">
        <v>36</v>
      </c>
    </row>
    <row r="7" spans="1:8" x14ac:dyDescent="0.2">
      <c r="A7" s="1">
        <v>61473</v>
      </c>
      <c r="B7" s="1" t="s">
        <v>427</v>
      </c>
      <c r="C7" s="16">
        <v>1515</v>
      </c>
      <c r="D7" s="16">
        <v>37882391183</v>
      </c>
      <c r="E7" s="23">
        <v>25004878.668646872</v>
      </c>
      <c r="F7" s="13">
        <v>-35893241</v>
      </c>
      <c r="G7" s="13">
        <v>5549645000</v>
      </c>
      <c r="H7" s="1" t="s">
        <v>429</v>
      </c>
    </row>
    <row r="8" spans="1:8" x14ac:dyDescent="0.2">
      <c r="A8" s="1">
        <v>61416</v>
      </c>
      <c r="B8" s="1" t="s">
        <v>37</v>
      </c>
      <c r="C8" s="16">
        <v>1515</v>
      </c>
      <c r="D8" s="16">
        <v>12921263210</v>
      </c>
      <c r="E8" s="23">
        <v>8528886.6072607283</v>
      </c>
      <c r="F8" s="13">
        <v>0</v>
      </c>
      <c r="G8" s="13">
        <v>1845796761</v>
      </c>
      <c r="H8" s="1" t="s">
        <v>39</v>
      </c>
    </row>
    <row r="9" spans="1:8" x14ac:dyDescent="0.2">
      <c r="A9" s="1">
        <v>61421</v>
      </c>
      <c r="B9" s="1" t="s">
        <v>40</v>
      </c>
      <c r="C9" s="16">
        <v>1515</v>
      </c>
      <c r="D9" s="16">
        <v>69904045642</v>
      </c>
      <c r="E9" s="23">
        <v>46141284.252145216</v>
      </c>
      <c r="F9" s="13">
        <v>0</v>
      </c>
      <c r="G9" s="13">
        <v>8589693000</v>
      </c>
      <c r="H9" s="1" t="s">
        <v>42</v>
      </c>
    </row>
    <row r="10" spans="1:8" x14ac:dyDescent="0.2">
      <c r="A10" s="1">
        <v>61426</v>
      </c>
      <c r="B10" s="1" t="s">
        <v>43</v>
      </c>
      <c r="C10" s="16">
        <v>1515</v>
      </c>
      <c r="D10" s="16">
        <v>82825308852</v>
      </c>
      <c r="E10" s="23">
        <v>54670170.859405935</v>
      </c>
      <c r="F10" s="13">
        <v>0</v>
      </c>
      <c r="G10" s="13">
        <v>10108698000</v>
      </c>
      <c r="H10" s="1" t="s">
        <v>45</v>
      </c>
    </row>
    <row r="11" spans="1:8" x14ac:dyDescent="0.2">
      <c r="A11" s="1">
        <v>61431</v>
      </c>
      <c r="B11" s="1" t="s">
        <v>46</v>
      </c>
      <c r="C11" s="16">
        <v>1515</v>
      </c>
      <c r="D11" s="16">
        <v>190144064341</v>
      </c>
      <c r="E11" s="23">
        <v>125507633.22838284</v>
      </c>
      <c r="F11" s="13">
        <v>0</v>
      </c>
      <c r="G11" s="13">
        <v>18171198000</v>
      </c>
      <c r="H11" s="1" t="s">
        <v>48</v>
      </c>
    </row>
    <row r="12" spans="1:8" x14ac:dyDescent="0.2">
      <c r="A12" s="1">
        <v>61436</v>
      </c>
      <c r="B12" s="1" t="s">
        <v>49</v>
      </c>
      <c r="C12" s="16">
        <v>1515</v>
      </c>
      <c r="D12" s="16">
        <v>182245683295</v>
      </c>
      <c r="E12" s="23">
        <v>120294180.39273928</v>
      </c>
      <c r="F12" s="13">
        <v>0</v>
      </c>
      <c r="G12" s="13">
        <v>31583424000</v>
      </c>
      <c r="H12" s="1" t="s">
        <v>51</v>
      </c>
    </row>
    <row r="13" spans="1:8" x14ac:dyDescent="0.2">
      <c r="A13" s="1">
        <v>61441</v>
      </c>
      <c r="B13" s="1" t="s">
        <v>52</v>
      </c>
      <c r="C13" s="16">
        <v>1515</v>
      </c>
      <c r="D13" s="16">
        <v>372389747636</v>
      </c>
      <c r="E13" s="23">
        <v>245801813.62112209</v>
      </c>
      <c r="F13" s="13">
        <v>0</v>
      </c>
      <c r="G13" s="13">
        <v>49754622000</v>
      </c>
      <c r="H13" s="1" t="s">
        <v>54</v>
      </c>
    </row>
    <row r="14" spans="1:8" x14ac:dyDescent="0.2">
      <c r="A14" s="1">
        <v>61446</v>
      </c>
      <c r="B14" s="1" t="s">
        <v>55</v>
      </c>
      <c r="C14" s="16">
        <v>1515</v>
      </c>
      <c r="D14" s="16">
        <v>455215056488</v>
      </c>
      <c r="E14" s="23">
        <v>300471984.48052806</v>
      </c>
      <c r="F14" s="13">
        <v>0</v>
      </c>
      <c r="G14" s="13">
        <v>59863320000</v>
      </c>
      <c r="H14" s="1" t="s">
        <v>57</v>
      </c>
    </row>
    <row r="15" spans="1:8" x14ac:dyDescent="0.2">
      <c r="A15" s="1">
        <v>61474</v>
      </c>
      <c r="B15" s="1" t="s">
        <v>430</v>
      </c>
      <c r="C15" s="16">
        <v>1515</v>
      </c>
      <c r="D15" s="16">
        <v>14938936854</v>
      </c>
      <c r="E15" s="23">
        <v>9860684.3920792099</v>
      </c>
      <c r="F15" s="13">
        <v>0</v>
      </c>
      <c r="G15" s="13">
        <v>6284370000</v>
      </c>
      <c r="H15" s="1" t="s">
        <v>432</v>
      </c>
    </row>
    <row r="16" spans="1:8" x14ac:dyDescent="0.2">
      <c r="A16" s="1">
        <v>61451</v>
      </c>
      <c r="B16" s="1" t="s">
        <v>58</v>
      </c>
      <c r="C16" s="16">
        <v>1515</v>
      </c>
      <c r="D16" s="16">
        <v>225124693185</v>
      </c>
      <c r="E16" s="23">
        <v>148597157.21782181</v>
      </c>
      <c r="F16" s="13">
        <v>-2786452550</v>
      </c>
      <c r="G16" s="13">
        <v>13342824000</v>
      </c>
      <c r="H16" s="1" t="s">
        <v>60</v>
      </c>
    </row>
    <row r="17" spans="1:8" x14ac:dyDescent="0.2">
      <c r="A17" s="1">
        <v>61456</v>
      </c>
      <c r="B17" s="1" t="s">
        <v>61</v>
      </c>
      <c r="C17" s="16">
        <v>1515</v>
      </c>
      <c r="D17" s="16">
        <v>68245227700</v>
      </c>
      <c r="E17" s="23">
        <v>45046354.917491749</v>
      </c>
      <c r="F17" s="13">
        <v>-35960163</v>
      </c>
      <c r="G17" s="13">
        <v>11157669006</v>
      </c>
      <c r="H17" s="1" t="s">
        <v>63</v>
      </c>
    </row>
    <row r="18" spans="1:8" x14ac:dyDescent="0.2">
      <c r="A18" s="1">
        <v>61461</v>
      </c>
      <c r="B18" s="1" t="s">
        <v>64</v>
      </c>
      <c r="C18" s="16">
        <v>1515</v>
      </c>
      <c r="D18" s="16">
        <v>50331746548</v>
      </c>
      <c r="E18" s="23">
        <v>33222274.949174926</v>
      </c>
      <c r="F18" s="13">
        <v>0</v>
      </c>
      <c r="G18" s="13">
        <v>22636275955</v>
      </c>
      <c r="H18" s="1" t="s">
        <v>66</v>
      </c>
    </row>
    <row r="19" spans="1:8" x14ac:dyDescent="0.2">
      <c r="A19" s="1">
        <v>61466</v>
      </c>
      <c r="B19" s="1" t="s">
        <v>67</v>
      </c>
      <c r="C19" s="16">
        <v>1515</v>
      </c>
      <c r="D19" s="16">
        <v>-20059991695</v>
      </c>
      <c r="E19" s="23">
        <v>-13240918.610561056</v>
      </c>
      <c r="F19" s="13">
        <v>-19606774000</v>
      </c>
      <c r="G19" s="13">
        <v>2998837000</v>
      </c>
      <c r="H19" s="1" t="s">
        <v>69</v>
      </c>
    </row>
    <row r="20" spans="1:8" x14ac:dyDescent="0.2">
      <c r="A20" s="1">
        <v>61471</v>
      </c>
      <c r="B20" s="1" t="s">
        <v>70</v>
      </c>
      <c r="C20" s="16">
        <v>1515</v>
      </c>
      <c r="D20" s="16">
        <v>323641675738</v>
      </c>
      <c r="E20" s="23">
        <v>213624868.47392735</v>
      </c>
      <c r="F20" s="13">
        <v>-3009326771</v>
      </c>
      <c r="G20" s="13">
        <v>27591251489</v>
      </c>
      <c r="H20" s="1" t="s">
        <v>433</v>
      </c>
    </row>
    <row r="21" spans="1:8" x14ac:dyDescent="0.2">
      <c r="A21" s="1">
        <v>61491</v>
      </c>
      <c r="B21" s="1" t="s">
        <v>72</v>
      </c>
      <c r="C21" s="16">
        <v>1515</v>
      </c>
      <c r="D21" s="16">
        <v>27282595357</v>
      </c>
      <c r="E21" s="23">
        <v>18008313.7669967</v>
      </c>
      <c r="F21" s="13">
        <v>0</v>
      </c>
      <c r="G21" s="13">
        <v>1162911000</v>
      </c>
      <c r="H21" s="1" t="s">
        <v>74</v>
      </c>
    </row>
    <row r="22" spans="1:8" x14ac:dyDescent="0.2">
      <c r="A22" s="1">
        <v>61511</v>
      </c>
      <c r="B22" s="1" t="s">
        <v>75</v>
      </c>
      <c r="C22" s="16">
        <v>1515</v>
      </c>
      <c r="D22" s="16">
        <v>27660991988</v>
      </c>
      <c r="E22" s="23">
        <v>18258080.520132013</v>
      </c>
      <c r="F22" s="13">
        <v>0</v>
      </c>
      <c r="G22" s="13">
        <v>1003689416</v>
      </c>
      <c r="H22" s="1" t="s">
        <v>77</v>
      </c>
    </row>
    <row r="23" spans="1:8" x14ac:dyDescent="0.2">
      <c r="A23" s="1">
        <v>61531</v>
      </c>
      <c r="B23" s="1" t="s">
        <v>78</v>
      </c>
      <c r="C23" s="16">
        <v>1515</v>
      </c>
      <c r="D23" s="16">
        <v>465343058644</v>
      </c>
      <c r="E23" s="23">
        <v>307157134.41848183</v>
      </c>
      <c r="F23" s="13">
        <v>0</v>
      </c>
      <c r="G23" s="13">
        <v>38025323000</v>
      </c>
      <c r="H23" s="1" t="s">
        <v>80</v>
      </c>
    </row>
    <row r="24" spans="1:8" x14ac:dyDescent="0.2">
      <c r="A24" s="1">
        <v>65006</v>
      </c>
      <c r="B24" s="1" t="s">
        <v>81</v>
      </c>
      <c r="C24" s="16">
        <v>1515</v>
      </c>
      <c r="D24" s="16">
        <v>100127099767</v>
      </c>
      <c r="E24" s="23">
        <v>66090494.895709582</v>
      </c>
      <c r="F24" s="13">
        <v>0</v>
      </c>
      <c r="G24" s="13">
        <v>11203457000</v>
      </c>
      <c r="H24" s="1" t="s">
        <v>83</v>
      </c>
    </row>
    <row r="25" spans="1:8" x14ac:dyDescent="0.2">
      <c r="A25" s="1">
        <v>61611</v>
      </c>
      <c r="B25" s="1" t="s">
        <v>84</v>
      </c>
      <c r="C25" s="16">
        <v>1515</v>
      </c>
      <c r="D25" s="16">
        <v>36048653009</v>
      </c>
      <c r="E25" s="23">
        <v>23794490.434983496</v>
      </c>
      <c r="F25" s="13">
        <v>0</v>
      </c>
      <c r="G25" s="13">
        <v>2520150000</v>
      </c>
      <c r="H25" s="1" t="s">
        <v>86</v>
      </c>
    </row>
    <row r="26" spans="1:8" x14ac:dyDescent="0.2">
      <c r="A26" s="1">
        <v>61615</v>
      </c>
      <c r="B26" s="1" t="s">
        <v>87</v>
      </c>
      <c r="C26" s="16">
        <v>1515</v>
      </c>
      <c r="D26" s="16">
        <v>656462398764.99988</v>
      </c>
      <c r="E26" s="23">
        <v>433308514.0363037</v>
      </c>
      <c r="F26" s="13">
        <v>0</v>
      </c>
      <c r="G26" s="13">
        <v>53606701000</v>
      </c>
      <c r="H26" s="1" t="s">
        <v>89</v>
      </c>
    </row>
    <row r="27" spans="1:8" x14ac:dyDescent="0.2">
      <c r="A27" s="1">
        <v>61631</v>
      </c>
      <c r="B27" s="1" t="s">
        <v>90</v>
      </c>
      <c r="C27" s="16">
        <v>1515</v>
      </c>
      <c r="D27" s="16">
        <v>270229567528</v>
      </c>
      <c r="E27" s="23">
        <v>178369351.50363037</v>
      </c>
      <c r="F27" s="13">
        <v>0</v>
      </c>
      <c r="G27" s="13">
        <v>23955218000</v>
      </c>
      <c r="H27" s="1" t="s">
        <v>92</v>
      </c>
    </row>
    <row r="28" spans="1:8" x14ac:dyDescent="0.2">
      <c r="A28" s="1">
        <v>65011</v>
      </c>
      <c r="B28" s="1" t="s">
        <v>93</v>
      </c>
      <c r="C28" s="16">
        <v>1515</v>
      </c>
      <c r="D28" s="16">
        <v>1618722585</v>
      </c>
      <c r="E28" s="23">
        <v>1068463.7524752475</v>
      </c>
      <c r="F28" s="13">
        <v>0</v>
      </c>
      <c r="G28" s="13">
        <v>245756772</v>
      </c>
      <c r="H28" s="1" t="s">
        <v>95</v>
      </c>
    </row>
    <row r="29" spans="1:8" x14ac:dyDescent="0.2">
      <c r="A29" s="1">
        <v>65016</v>
      </c>
      <c r="B29" s="1" t="s">
        <v>96</v>
      </c>
      <c r="C29" s="16">
        <v>1515</v>
      </c>
      <c r="D29" s="16">
        <v>2730047088</v>
      </c>
      <c r="E29" s="23">
        <v>1802011.2792079211</v>
      </c>
      <c r="F29" s="13">
        <v>0</v>
      </c>
      <c r="G29" s="13">
        <v>279406670</v>
      </c>
      <c r="H29" s="1" t="s">
        <v>98</v>
      </c>
    </row>
    <row r="30" spans="1:8" x14ac:dyDescent="0.2">
      <c r="A30" s="1">
        <v>62281</v>
      </c>
      <c r="B30" s="1" t="s">
        <v>256</v>
      </c>
      <c r="C30" s="16">
        <v>1515</v>
      </c>
      <c r="D30" s="16">
        <v>376308322760</v>
      </c>
      <c r="E30" s="23">
        <v>248388331.85478553</v>
      </c>
      <c r="F30" s="13">
        <v>2104563</v>
      </c>
      <c r="G30" s="13">
        <v>35963079000</v>
      </c>
      <c r="H30" s="1" t="s">
        <v>258</v>
      </c>
    </row>
    <row r="31" spans="1:8" x14ac:dyDescent="0.2">
      <c r="A31" s="1">
        <v>62286</v>
      </c>
      <c r="B31" s="1" t="s">
        <v>259</v>
      </c>
      <c r="C31" s="16">
        <v>1515</v>
      </c>
      <c r="D31" s="16">
        <v>359065930549</v>
      </c>
      <c r="E31" s="23">
        <v>237007214.8838284</v>
      </c>
      <c r="F31" s="13">
        <v>1674174</v>
      </c>
      <c r="G31" s="13">
        <v>34898195694</v>
      </c>
      <c r="H31" s="1" t="s">
        <v>261</v>
      </c>
    </row>
    <row r="32" spans="1:8" x14ac:dyDescent="0.2">
      <c r="A32" s="1">
        <v>62291</v>
      </c>
      <c r="B32" s="1" t="s">
        <v>262</v>
      </c>
      <c r="C32" s="16">
        <v>1515</v>
      </c>
      <c r="D32" s="16">
        <v>17242392211</v>
      </c>
      <c r="E32" s="23">
        <v>11381116.970957091</v>
      </c>
      <c r="F32" s="13">
        <v>-336288174</v>
      </c>
      <c r="G32" s="13">
        <v>2164395466</v>
      </c>
      <c r="H32" s="1" t="s">
        <v>264</v>
      </c>
    </row>
    <row r="33" spans="1:8" x14ac:dyDescent="0.2">
      <c r="A33" s="1">
        <v>62296</v>
      </c>
      <c r="B33" s="1" t="s">
        <v>265</v>
      </c>
      <c r="C33" s="16">
        <v>1515</v>
      </c>
      <c r="D33" s="16">
        <v>317784643419</v>
      </c>
      <c r="E33" s="23">
        <v>209758840.54059404</v>
      </c>
      <c r="F33" s="13">
        <v>-2673038597</v>
      </c>
      <c r="G33" s="13">
        <v>25426856023</v>
      </c>
      <c r="H33" s="1" t="s">
        <v>267</v>
      </c>
    </row>
    <row r="34" spans="1:8" x14ac:dyDescent="0.2">
      <c r="A34" s="1">
        <v>62301</v>
      </c>
      <c r="B34" s="1" t="s">
        <v>268</v>
      </c>
      <c r="C34" s="16">
        <v>1515</v>
      </c>
      <c r="D34" s="16">
        <v>-11385359892</v>
      </c>
      <c r="E34" s="23">
        <v>-7515089.0376237612</v>
      </c>
      <c r="F34" s="13">
        <v>-8150056000</v>
      </c>
      <c r="G34" s="13">
        <v>66715754</v>
      </c>
      <c r="H34" s="1" t="s">
        <v>270</v>
      </c>
    </row>
    <row r="35" spans="1:8" x14ac:dyDescent="0.2">
      <c r="A35" s="1">
        <v>62306</v>
      </c>
      <c r="B35" s="1" t="s">
        <v>271</v>
      </c>
      <c r="C35" s="21">
        <v>1515</v>
      </c>
      <c r="D35" s="21">
        <v>323641675738</v>
      </c>
      <c r="E35" s="24">
        <v>213624868.47392735</v>
      </c>
      <c r="F35" s="16">
        <v>-3009326771</v>
      </c>
      <c r="G35" s="19">
        <v>27591251489</v>
      </c>
      <c r="H35" s="1" t="s">
        <v>273</v>
      </c>
    </row>
    <row r="36" spans="1:8" x14ac:dyDescent="0.2">
      <c r="A36" s="1">
        <v>61636</v>
      </c>
      <c r="B36" s="1" t="s">
        <v>99</v>
      </c>
      <c r="C36" s="21">
        <v>1978</v>
      </c>
      <c r="D36" s="21">
        <v>75919906677</v>
      </c>
      <c r="E36" s="24">
        <v>38382157.066228509</v>
      </c>
      <c r="F36" s="16">
        <v>0</v>
      </c>
      <c r="G36" s="19">
        <v>1250828000</v>
      </c>
      <c r="H36" s="1" t="s">
        <v>101</v>
      </c>
    </row>
    <row r="37" spans="1:8" x14ac:dyDescent="0.2">
      <c r="A37" s="1">
        <v>61641</v>
      </c>
      <c r="B37" s="1" t="s">
        <v>102</v>
      </c>
      <c r="C37" s="21">
        <v>1978</v>
      </c>
      <c r="D37" s="21">
        <v>27048903068</v>
      </c>
      <c r="E37" s="24">
        <v>13674875.160768451</v>
      </c>
      <c r="F37" s="16">
        <v>0</v>
      </c>
      <c r="G37" s="19">
        <v>1025318457</v>
      </c>
      <c r="H37" s="1" t="s">
        <v>104</v>
      </c>
    </row>
    <row r="38" spans="1:8" x14ac:dyDescent="0.2">
      <c r="A38" s="1">
        <v>61646</v>
      </c>
      <c r="B38" s="1" t="s">
        <v>105</v>
      </c>
      <c r="C38" s="21">
        <v>1978</v>
      </c>
      <c r="D38" s="21">
        <v>7904008410</v>
      </c>
      <c r="E38" s="24">
        <v>3995959.7623862494</v>
      </c>
      <c r="F38" s="16">
        <v>0</v>
      </c>
      <c r="G38" s="19">
        <v>131982000</v>
      </c>
      <c r="H38" s="1" t="s">
        <v>107</v>
      </c>
    </row>
    <row r="39" spans="1:8" x14ac:dyDescent="0.2">
      <c r="A39" s="1">
        <v>61651</v>
      </c>
      <c r="B39" s="1" t="s">
        <v>108</v>
      </c>
      <c r="C39" s="16">
        <v>1978</v>
      </c>
      <c r="D39" s="16">
        <v>13494424869</v>
      </c>
      <c r="E39" s="23">
        <v>6822257.2644084943</v>
      </c>
      <c r="F39" s="13">
        <v>0</v>
      </c>
      <c r="G39" s="13">
        <v>797697000</v>
      </c>
      <c r="H39" s="1" t="s">
        <v>110</v>
      </c>
    </row>
    <row r="40" spans="1:8" x14ac:dyDescent="0.2">
      <c r="A40" s="1">
        <v>65021</v>
      </c>
      <c r="B40" s="1" t="s">
        <v>111</v>
      </c>
      <c r="C40" s="16">
        <v>1978</v>
      </c>
      <c r="D40" s="16">
        <v>2195960175</v>
      </c>
      <c r="E40" s="23">
        <v>1110192.201718908</v>
      </c>
      <c r="F40" s="13">
        <v>0</v>
      </c>
      <c r="G40" s="13">
        <v>386724142</v>
      </c>
      <c r="H40" s="1" t="s">
        <v>113</v>
      </c>
    </row>
    <row r="41" spans="1:8" x14ac:dyDescent="0.2">
      <c r="A41" s="1">
        <v>65026</v>
      </c>
      <c r="B41" s="1" t="s">
        <v>114</v>
      </c>
      <c r="C41" s="16">
        <v>1978</v>
      </c>
      <c r="D41" s="16">
        <v>11298464694</v>
      </c>
      <c r="E41" s="23">
        <v>5712065.0626895856</v>
      </c>
      <c r="F41" s="13">
        <v>0</v>
      </c>
      <c r="G41" s="13">
        <v>791676000</v>
      </c>
      <c r="H41" s="1" t="s">
        <v>116</v>
      </c>
    </row>
    <row r="42" spans="1:8" x14ac:dyDescent="0.2">
      <c r="A42" s="1">
        <v>61656</v>
      </c>
      <c r="B42" s="1" t="s">
        <v>117</v>
      </c>
      <c r="C42" s="16">
        <v>1657</v>
      </c>
      <c r="D42" s="16">
        <v>27552058649</v>
      </c>
      <c r="E42" s="23">
        <v>16627675.70850935</v>
      </c>
      <c r="F42" s="13">
        <v>0</v>
      </c>
      <c r="G42" s="13">
        <v>829847851</v>
      </c>
      <c r="H42" s="1" t="s">
        <v>119</v>
      </c>
    </row>
    <row r="43" spans="1:8" x14ac:dyDescent="0.2">
      <c r="A43" s="1">
        <v>61661</v>
      </c>
      <c r="B43" s="1" t="s">
        <v>120</v>
      </c>
      <c r="C43" s="16">
        <v>718</v>
      </c>
      <c r="D43" s="16">
        <v>46237613534</v>
      </c>
      <c r="E43" s="23">
        <v>64397790.437325902</v>
      </c>
      <c r="F43" s="13">
        <v>0</v>
      </c>
      <c r="G43" s="13">
        <v>4200081000</v>
      </c>
      <c r="H43" s="1" t="s">
        <v>122</v>
      </c>
    </row>
    <row r="44" spans="1:8" x14ac:dyDescent="0.2">
      <c r="A44" s="1">
        <v>65031</v>
      </c>
      <c r="B44" s="1" t="s">
        <v>123</v>
      </c>
      <c r="C44" s="16">
        <v>1978</v>
      </c>
      <c r="D44" s="16">
        <v>10250618230</v>
      </c>
      <c r="E44" s="23">
        <v>5182314.5753286146</v>
      </c>
      <c r="F44" s="13">
        <v>0</v>
      </c>
      <c r="G44" s="13">
        <v>1548596000</v>
      </c>
      <c r="H44" s="1" t="s">
        <v>125</v>
      </c>
    </row>
    <row r="45" spans="1:8" x14ac:dyDescent="0.2">
      <c r="A45" s="1">
        <v>61666</v>
      </c>
      <c r="B45" s="1" t="s">
        <v>126</v>
      </c>
      <c r="C45" s="16">
        <v>718</v>
      </c>
      <c r="D45" s="16">
        <v>1596234847</v>
      </c>
      <c r="E45" s="23">
        <v>2223168.3105849577</v>
      </c>
      <c r="F45" s="13">
        <v>0</v>
      </c>
      <c r="G45" s="13">
        <v>622865000</v>
      </c>
      <c r="H45" s="1" t="s">
        <v>128</v>
      </c>
    </row>
    <row r="46" spans="1:8" x14ac:dyDescent="0.2">
      <c r="A46" s="1">
        <v>61671</v>
      </c>
      <c r="B46" s="1" t="s">
        <v>129</v>
      </c>
      <c r="C46" s="16">
        <v>1978</v>
      </c>
      <c r="D46" s="16">
        <v>10582235219</v>
      </c>
      <c r="E46" s="23">
        <v>5349967.2492416576</v>
      </c>
      <c r="F46" s="13">
        <v>0</v>
      </c>
      <c r="G46" s="13">
        <v>1355962000</v>
      </c>
      <c r="H46" s="1" t="s">
        <v>131</v>
      </c>
    </row>
    <row r="47" spans="1:8" x14ac:dyDescent="0.2">
      <c r="A47" s="1">
        <v>61676</v>
      </c>
      <c r="B47" s="1" t="s">
        <v>132</v>
      </c>
      <c r="C47" s="16">
        <v>1978</v>
      </c>
      <c r="D47" s="16">
        <v>220586003503</v>
      </c>
      <c r="E47" s="23">
        <v>111519718.65672395</v>
      </c>
      <c r="F47" s="13">
        <v>0</v>
      </c>
      <c r="G47" s="13">
        <v>6882808000</v>
      </c>
      <c r="H47" s="1" t="s">
        <v>134</v>
      </c>
    </row>
    <row r="48" spans="1:8" x14ac:dyDescent="0.2">
      <c r="A48" s="1">
        <v>61681</v>
      </c>
      <c r="B48" s="1" t="s">
        <v>135</v>
      </c>
      <c r="C48" s="16">
        <v>1978</v>
      </c>
      <c r="D48" s="16">
        <v>1916595939</v>
      </c>
      <c r="E48" s="23">
        <v>968956.49089989893</v>
      </c>
      <c r="F48" s="13">
        <v>0</v>
      </c>
      <c r="G48" s="13">
        <v>615028551</v>
      </c>
      <c r="H48" s="1" t="s">
        <v>137</v>
      </c>
    </row>
    <row r="49" spans="1:8" x14ac:dyDescent="0.2">
      <c r="A49" s="1">
        <v>61686</v>
      </c>
      <c r="B49" s="1" t="s">
        <v>138</v>
      </c>
      <c r="C49" s="16">
        <v>1978</v>
      </c>
      <c r="D49" s="16">
        <v>69266523485</v>
      </c>
      <c r="E49" s="23">
        <v>35018464.855915062</v>
      </c>
      <c r="F49" s="13">
        <v>0</v>
      </c>
      <c r="G49" s="13">
        <v>707072000</v>
      </c>
      <c r="H49" s="1" t="s">
        <v>140</v>
      </c>
    </row>
    <row r="50" spans="1:8" x14ac:dyDescent="0.2">
      <c r="A50" s="1">
        <v>61691</v>
      </c>
      <c r="B50" s="1" t="s">
        <v>141</v>
      </c>
      <c r="C50" s="16">
        <v>1978</v>
      </c>
      <c r="D50" s="16">
        <v>13314402010</v>
      </c>
      <c r="E50" s="23">
        <v>6731244.6966632959</v>
      </c>
      <c r="F50" s="13">
        <v>0</v>
      </c>
      <c r="G50" s="13">
        <v>291942618</v>
      </c>
      <c r="H50" s="1" t="s">
        <v>143</v>
      </c>
    </row>
    <row r="51" spans="1:8" x14ac:dyDescent="0.2">
      <c r="A51" s="1">
        <v>61696</v>
      </c>
      <c r="B51" s="1" t="s">
        <v>144</v>
      </c>
      <c r="C51" s="16">
        <v>1978</v>
      </c>
      <c r="D51" s="16">
        <v>20113676451</v>
      </c>
      <c r="E51" s="23">
        <v>10168693.85793731</v>
      </c>
      <c r="F51" s="13">
        <v>0</v>
      </c>
      <c r="G51" s="13">
        <v>158295000</v>
      </c>
      <c r="H51" s="1" t="s">
        <v>146</v>
      </c>
    </row>
    <row r="52" spans="1:8" x14ac:dyDescent="0.2">
      <c r="A52" s="1">
        <v>61701</v>
      </c>
      <c r="B52" s="1" t="s">
        <v>147</v>
      </c>
      <c r="C52" s="16">
        <v>1978</v>
      </c>
      <c r="D52" s="16">
        <v>5197872485</v>
      </c>
      <c r="E52" s="23">
        <v>2627842.510111223</v>
      </c>
      <c r="F52" s="13">
        <v>0</v>
      </c>
      <c r="G52" s="13">
        <v>129371779</v>
      </c>
      <c r="H52" s="1" t="s">
        <v>149</v>
      </c>
    </row>
    <row r="53" spans="1:8" x14ac:dyDescent="0.2">
      <c r="A53" s="1">
        <v>61706</v>
      </c>
      <c r="B53" s="1" t="s">
        <v>150</v>
      </c>
      <c r="C53" s="16">
        <v>1978</v>
      </c>
      <c r="D53" s="16">
        <v>433981658</v>
      </c>
      <c r="E53" s="23">
        <v>219404.27603640035</v>
      </c>
      <c r="F53" s="13">
        <v>0</v>
      </c>
      <c r="G53" s="13">
        <v>52858272</v>
      </c>
      <c r="H53" s="1" t="s">
        <v>152</v>
      </c>
    </row>
    <row r="54" spans="1:8" x14ac:dyDescent="0.2">
      <c r="A54" s="1">
        <v>61711</v>
      </c>
      <c r="B54" s="1" t="s">
        <v>153</v>
      </c>
      <c r="C54" s="16">
        <v>1978</v>
      </c>
      <c r="D54" s="16">
        <v>7930384438</v>
      </c>
      <c r="E54" s="23">
        <v>4009294.4580384223</v>
      </c>
      <c r="F54" s="13">
        <v>-5717938</v>
      </c>
      <c r="G54" s="13">
        <v>339139724</v>
      </c>
      <c r="H54" s="1" t="s">
        <v>155</v>
      </c>
    </row>
    <row r="55" spans="1:8" x14ac:dyDescent="0.2">
      <c r="A55" s="1">
        <v>61716</v>
      </c>
      <c r="B55" s="1" t="s">
        <v>156</v>
      </c>
      <c r="C55" s="16">
        <v>1978</v>
      </c>
      <c r="D55" s="16">
        <v>13792946394</v>
      </c>
      <c r="E55" s="23">
        <v>6973178.1567239659</v>
      </c>
      <c r="F55" s="13">
        <v>-231272000</v>
      </c>
      <c r="G55" s="13">
        <v>3506788843</v>
      </c>
      <c r="H55" s="1" t="s">
        <v>158</v>
      </c>
    </row>
    <row r="56" spans="1:8" x14ac:dyDescent="0.2">
      <c r="A56" s="1">
        <v>61821</v>
      </c>
      <c r="B56" s="1" t="s">
        <v>159</v>
      </c>
      <c r="C56" s="16">
        <v>1978</v>
      </c>
      <c r="D56" s="16">
        <v>8096505173</v>
      </c>
      <c r="E56" s="23">
        <v>4093278.651668353</v>
      </c>
      <c r="F56" s="13">
        <v>0</v>
      </c>
      <c r="G56" s="13">
        <v>1697086000</v>
      </c>
      <c r="H56" s="1" t="s">
        <v>161</v>
      </c>
    </row>
    <row r="57" spans="1:8" x14ac:dyDescent="0.2">
      <c r="A57" s="1">
        <v>61826</v>
      </c>
      <c r="B57" s="1" t="s">
        <v>162</v>
      </c>
      <c r="C57" s="16">
        <v>1978</v>
      </c>
      <c r="D57" s="16">
        <v>140062888033</v>
      </c>
      <c r="E57" s="23">
        <v>70810357.953993917</v>
      </c>
      <c r="F57" s="13">
        <v>0</v>
      </c>
      <c r="G57" s="13">
        <v>3544977516</v>
      </c>
      <c r="H57" s="1" t="s">
        <v>164</v>
      </c>
    </row>
    <row r="58" spans="1:8" x14ac:dyDescent="0.2">
      <c r="A58" s="1">
        <v>65033</v>
      </c>
      <c r="B58" s="1" t="s">
        <v>165</v>
      </c>
      <c r="C58" s="16">
        <v>1978</v>
      </c>
      <c r="D58" s="16">
        <v>360648891536</v>
      </c>
      <c r="E58" s="23">
        <v>182330076.61071789</v>
      </c>
      <c r="F58" s="13">
        <v>0</v>
      </c>
      <c r="G58" s="13">
        <v>8793177000</v>
      </c>
      <c r="H58" s="1" t="s">
        <v>167</v>
      </c>
    </row>
    <row r="59" spans="1:8" x14ac:dyDescent="0.2">
      <c r="A59" s="1">
        <v>61831</v>
      </c>
      <c r="B59" s="1" t="s">
        <v>168</v>
      </c>
      <c r="C59" s="16">
        <v>1657</v>
      </c>
      <c r="D59" s="16">
        <v>6580380200</v>
      </c>
      <c r="E59" s="23">
        <v>3971261.4363307185</v>
      </c>
      <c r="F59" s="13">
        <v>-5095126</v>
      </c>
      <c r="G59" s="13">
        <v>325055000</v>
      </c>
      <c r="H59" s="1" t="s">
        <v>170</v>
      </c>
    </row>
    <row r="60" spans="1:8" x14ac:dyDescent="0.2">
      <c r="A60" s="1">
        <v>61836</v>
      </c>
      <c r="B60" s="1" t="s">
        <v>171</v>
      </c>
      <c r="C60" s="16">
        <v>1657</v>
      </c>
      <c r="D60" s="16">
        <v>3665777631</v>
      </c>
      <c r="E60" s="23">
        <v>2212297.9064574526</v>
      </c>
      <c r="F60" s="13">
        <v>-3164611</v>
      </c>
      <c r="G60" s="13">
        <v>123599667</v>
      </c>
      <c r="H60" s="1" t="s">
        <v>173</v>
      </c>
    </row>
    <row r="61" spans="1:8" x14ac:dyDescent="0.2">
      <c r="A61" s="1">
        <v>61841</v>
      </c>
      <c r="B61" s="1" t="s">
        <v>174</v>
      </c>
      <c r="C61" s="16">
        <v>1657</v>
      </c>
      <c r="D61" s="16">
        <v>1189595155</v>
      </c>
      <c r="E61" s="23">
        <v>717921.0350030174</v>
      </c>
      <c r="F61" s="13">
        <v>-23400</v>
      </c>
      <c r="G61" s="13">
        <v>158125877</v>
      </c>
      <c r="H61" s="1" t="s">
        <v>176</v>
      </c>
    </row>
    <row r="62" spans="1:8" x14ac:dyDescent="0.2">
      <c r="A62" s="1">
        <v>61846</v>
      </c>
      <c r="B62" s="1" t="s">
        <v>177</v>
      </c>
      <c r="C62" s="16">
        <v>1977</v>
      </c>
      <c r="D62" s="16">
        <v>7895104782</v>
      </c>
      <c r="E62" s="23">
        <v>3993477.3808801216</v>
      </c>
      <c r="F62" s="13">
        <v>-5290754</v>
      </c>
      <c r="G62" s="13">
        <v>1929998848</v>
      </c>
      <c r="H62" s="1" t="s">
        <v>179</v>
      </c>
    </row>
    <row r="63" spans="1:8" x14ac:dyDescent="0.2">
      <c r="A63" s="1">
        <v>61851</v>
      </c>
      <c r="B63" s="1" t="s">
        <v>180</v>
      </c>
      <c r="C63" s="16">
        <v>1978</v>
      </c>
      <c r="D63" s="16">
        <v>19330857768</v>
      </c>
      <c r="E63" s="23">
        <v>9772931.1263902951</v>
      </c>
      <c r="F63" s="13">
        <v>-5059584</v>
      </c>
      <c r="G63" s="13">
        <v>2088124725</v>
      </c>
      <c r="H63" s="1" t="s">
        <v>182</v>
      </c>
    </row>
    <row r="64" spans="1:8" x14ac:dyDescent="0.2">
      <c r="A64" s="1">
        <v>61856</v>
      </c>
      <c r="B64" s="1" t="s">
        <v>183</v>
      </c>
      <c r="C64" s="16">
        <v>1978</v>
      </c>
      <c r="D64" s="16">
        <v>379979749304</v>
      </c>
      <c r="E64" s="23">
        <v>192103007.73710817</v>
      </c>
      <c r="F64" s="13">
        <v>0</v>
      </c>
      <c r="G64" s="13">
        <v>8981662000</v>
      </c>
      <c r="H64" s="1" t="s">
        <v>185</v>
      </c>
    </row>
    <row r="65" spans="1:8" x14ac:dyDescent="0.2">
      <c r="A65" s="1">
        <v>61861</v>
      </c>
      <c r="B65" s="1" t="s">
        <v>186</v>
      </c>
      <c r="C65" s="16">
        <v>1978</v>
      </c>
      <c r="D65" s="16">
        <v>110080611202</v>
      </c>
      <c r="E65" s="23">
        <v>55652482.913043477</v>
      </c>
      <c r="F65" s="13">
        <v>0</v>
      </c>
      <c r="G65" s="13">
        <v>2245090004</v>
      </c>
      <c r="H65" s="1" t="s">
        <v>188</v>
      </c>
    </row>
    <row r="66" spans="1:8" x14ac:dyDescent="0.2">
      <c r="A66" s="1">
        <v>61866</v>
      </c>
      <c r="B66" s="1" t="s">
        <v>189</v>
      </c>
      <c r="C66" s="16">
        <v>1978</v>
      </c>
      <c r="D66" s="16">
        <v>63059985413</v>
      </c>
      <c r="E66" s="23">
        <v>31880680.188574325</v>
      </c>
      <c r="F66" s="13">
        <v>0</v>
      </c>
      <c r="G66" s="13">
        <v>1364297385</v>
      </c>
      <c r="H66" s="1" t="s">
        <v>191</v>
      </c>
    </row>
    <row r="67" spans="1:8" x14ac:dyDescent="0.2">
      <c r="A67" s="1">
        <v>61886</v>
      </c>
      <c r="B67" s="1" t="s">
        <v>192</v>
      </c>
      <c r="C67" s="16">
        <v>1978</v>
      </c>
      <c r="D67" s="16">
        <v>35599908638</v>
      </c>
      <c r="E67" s="23">
        <v>17997931.566228513</v>
      </c>
      <c r="F67" s="13">
        <v>0</v>
      </c>
      <c r="G67" s="13">
        <v>1157929909</v>
      </c>
      <c r="H67" s="1" t="s">
        <v>194</v>
      </c>
    </row>
    <row r="68" spans="1:8" x14ac:dyDescent="0.2">
      <c r="A68" s="1">
        <v>61891</v>
      </c>
      <c r="B68" s="1" t="s">
        <v>195</v>
      </c>
      <c r="C68" s="16">
        <v>1978</v>
      </c>
      <c r="D68" s="16">
        <v>15462662492</v>
      </c>
      <c r="E68" s="23">
        <v>7817321.7856420623</v>
      </c>
      <c r="F68" s="13">
        <v>0</v>
      </c>
      <c r="G68" s="13">
        <v>558098727</v>
      </c>
      <c r="H68" s="1" t="s">
        <v>197</v>
      </c>
    </row>
    <row r="69" spans="1:8" x14ac:dyDescent="0.2">
      <c r="A69" s="1">
        <v>61911</v>
      </c>
      <c r="B69" s="1" t="s">
        <v>198</v>
      </c>
      <c r="C69" s="16">
        <v>1978</v>
      </c>
      <c r="D69" s="16">
        <v>15436085749</v>
      </c>
      <c r="E69" s="23">
        <v>7803885.6162790684</v>
      </c>
      <c r="F69" s="13">
        <v>0</v>
      </c>
      <c r="G69" s="13">
        <v>807399000</v>
      </c>
      <c r="H69" s="1" t="s">
        <v>200</v>
      </c>
    </row>
    <row r="70" spans="1:8" x14ac:dyDescent="0.2">
      <c r="A70" s="1">
        <v>61916</v>
      </c>
      <c r="B70" s="1" t="s">
        <v>201</v>
      </c>
      <c r="C70" s="16">
        <v>1978</v>
      </c>
      <c r="D70" s="16">
        <v>6992885810</v>
      </c>
      <c r="E70" s="23">
        <v>3535331.5520728002</v>
      </c>
      <c r="F70" s="13">
        <v>0</v>
      </c>
      <c r="G70" s="13">
        <v>533136000</v>
      </c>
      <c r="H70" s="1" t="s">
        <v>203</v>
      </c>
    </row>
    <row r="71" spans="1:8" x14ac:dyDescent="0.2">
      <c r="A71" s="1">
        <v>61936</v>
      </c>
      <c r="B71" s="1" t="s">
        <v>204</v>
      </c>
      <c r="C71" s="16">
        <v>1978</v>
      </c>
      <c r="D71" s="16">
        <v>30418426900</v>
      </c>
      <c r="E71" s="23">
        <v>15378375.58139535</v>
      </c>
      <c r="F71" s="13">
        <v>0</v>
      </c>
      <c r="G71" s="13">
        <v>765903216</v>
      </c>
      <c r="H71" s="1" t="s">
        <v>206</v>
      </c>
    </row>
    <row r="72" spans="1:8" x14ac:dyDescent="0.2">
      <c r="A72" s="1">
        <v>61941</v>
      </c>
      <c r="B72" s="1" t="s">
        <v>207</v>
      </c>
      <c r="C72" s="16">
        <v>1978</v>
      </c>
      <c r="D72" s="16">
        <v>14107566783</v>
      </c>
      <c r="E72" s="23">
        <v>7132238.0096056638</v>
      </c>
      <c r="F72" s="13">
        <v>0</v>
      </c>
      <c r="G72" s="13">
        <v>351593736</v>
      </c>
      <c r="H72" s="1" t="s">
        <v>209</v>
      </c>
    </row>
    <row r="73" spans="1:8" x14ac:dyDescent="0.2">
      <c r="A73" s="1">
        <v>61961</v>
      </c>
      <c r="B73" s="1" t="s">
        <v>210</v>
      </c>
      <c r="C73" s="16">
        <v>1978</v>
      </c>
      <c r="D73" s="16">
        <v>20885442678</v>
      </c>
      <c r="E73" s="23">
        <v>10558868.896865522</v>
      </c>
      <c r="F73" s="13">
        <v>0</v>
      </c>
      <c r="G73" s="13">
        <v>236284242</v>
      </c>
      <c r="H73" s="1" t="s">
        <v>212</v>
      </c>
    </row>
    <row r="74" spans="1:8" x14ac:dyDescent="0.2">
      <c r="A74" s="1">
        <v>61966</v>
      </c>
      <c r="B74" s="1" t="s">
        <v>213</v>
      </c>
      <c r="C74" s="16">
        <v>1978</v>
      </c>
      <c r="D74" s="16">
        <v>9686294663</v>
      </c>
      <c r="E74" s="23">
        <v>4897014.490899899</v>
      </c>
      <c r="F74" s="13">
        <v>0</v>
      </c>
      <c r="G74" s="13">
        <v>103548141</v>
      </c>
      <c r="H74" s="1" t="s">
        <v>215</v>
      </c>
    </row>
    <row r="75" spans="1:8" x14ac:dyDescent="0.2">
      <c r="A75" s="1">
        <v>61986</v>
      </c>
      <c r="B75" s="1" t="s">
        <v>216</v>
      </c>
      <c r="C75" s="16">
        <v>1978</v>
      </c>
      <c r="D75" s="16">
        <v>35627424718</v>
      </c>
      <c r="E75" s="23">
        <v>18011842.627906982</v>
      </c>
      <c r="F75" s="13">
        <v>0</v>
      </c>
      <c r="G75" s="13">
        <v>1330533919</v>
      </c>
      <c r="H75" s="1" t="s">
        <v>218</v>
      </c>
    </row>
    <row r="76" spans="1:8" x14ac:dyDescent="0.2">
      <c r="A76" s="1">
        <v>61991</v>
      </c>
      <c r="B76" s="1" t="s">
        <v>219</v>
      </c>
      <c r="C76" s="16">
        <v>1978</v>
      </c>
      <c r="D76" s="16">
        <v>15299646624</v>
      </c>
      <c r="E76" s="23">
        <v>7734907.2922143554</v>
      </c>
      <c r="F76" s="13">
        <v>0</v>
      </c>
      <c r="G76" s="13">
        <v>208048159</v>
      </c>
      <c r="H76" s="1" t="s">
        <v>221</v>
      </c>
    </row>
    <row r="77" spans="1:8" x14ac:dyDescent="0.2">
      <c r="A77" s="1">
        <v>62046</v>
      </c>
      <c r="B77" s="1" t="s">
        <v>222</v>
      </c>
      <c r="C77" s="16">
        <v>1978</v>
      </c>
      <c r="D77" s="16">
        <v>15626769161</v>
      </c>
      <c r="E77" s="23">
        <v>7900287.7457027296</v>
      </c>
      <c r="F77" s="13">
        <v>-369142</v>
      </c>
      <c r="G77" s="13">
        <v>207954452</v>
      </c>
      <c r="H77" s="1" t="s">
        <v>224</v>
      </c>
    </row>
    <row r="78" spans="1:8" x14ac:dyDescent="0.2">
      <c r="A78" s="1">
        <v>62071</v>
      </c>
      <c r="B78" s="1" t="s">
        <v>225</v>
      </c>
      <c r="C78" s="16">
        <v>1657</v>
      </c>
      <c r="D78" s="16">
        <v>32384237945</v>
      </c>
      <c r="E78" s="23">
        <v>19543897.371756181</v>
      </c>
      <c r="F78" s="13">
        <v>0</v>
      </c>
      <c r="G78" s="13">
        <v>882540264</v>
      </c>
      <c r="H78" s="1" t="s">
        <v>227</v>
      </c>
    </row>
    <row r="79" spans="1:8" x14ac:dyDescent="0.2">
      <c r="A79" s="1">
        <v>62076</v>
      </c>
      <c r="B79" s="1" t="s">
        <v>228</v>
      </c>
      <c r="C79" s="16">
        <v>1657</v>
      </c>
      <c r="D79" s="16">
        <v>8776907317</v>
      </c>
      <c r="E79" s="23">
        <v>5296866.2142426083</v>
      </c>
      <c r="F79" s="13">
        <v>0</v>
      </c>
      <c r="G79" s="13">
        <v>323558258</v>
      </c>
      <c r="H79" s="1" t="s">
        <v>230</v>
      </c>
    </row>
    <row r="80" spans="1:8" x14ac:dyDescent="0.2">
      <c r="A80" s="1">
        <v>62096</v>
      </c>
      <c r="B80" s="1" t="s">
        <v>231</v>
      </c>
      <c r="C80" s="16">
        <v>718</v>
      </c>
      <c r="D80" s="16">
        <v>45236420761</v>
      </c>
      <c r="E80" s="23">
        <v>63003371.533426173</v>
      </c>
      <c r="F80" s="13">
        <v>0</v>
      </c>
      <c r="G80" s="13">
        <v>4074752000</v>
      </c>
      <c r="H80" s="1" t="s">
        <v>233</v>
      </c>
    </row>
    <row r="81" spans="1:8" x14ac:dyDescent="0.2">
      <c r="A81" s="1">
        <v>62101</v>
      </c>
      <c r="B81" s="1" t="s">
        <v>234</v>
      </c>
      <c r="C81" s="16">
        <v>718</v>
      </c>
      <c r="D81" s="16">
        <v>18688047266</v>
      </c>
      <c r="E81" s="23">
        <v>26027920.983286913</v>
      </c>
      <c r="F81" s="13">
        <v>0</v>
      </c>
      <c r="G81" s="13">
        <v>2010814000</v>
      </c>
      <c r="H81" s="1" t="s">
        <v>236</v>
      </c>
    </row>
    <row r="82" spans="1:8" x14ac:dyDescent="0.2">
      <c r="A82" s="1">
        <v>62121</v>
      </c>
      <c r="B82" s="1" t="s">
        <v>237</v>
      </c>
      <c r="C82" s="16">
        <v>718</v>
      </c>
      <c r="D82" s="16">
        <v>1681319662</v>
      </c>
      <c r="E82" s="23">
        <v>2341670.8384401114</v>
      </c>
      <c r="F82" s="13">
        <v>0</v>
      </c>
      <c r="G82" s="13">
        <v>554813000</v>
      </c>
      <c r="H82" s="1" t="s">
        <v>239</v>
      </c>
    </row>
    <row r="83" spans="1:8" x14ac:dyDescent="0.2">
      <c r="A83" s="1">
        <v>62126</v>
      </c>
      <c r="B83" s="1" t="s">
        <v>240</v>
      </c>
      <c r="C83" s="16">
        <v>718</v>
      </c>
      <c r="D83" s="16">
        <v>590339664</v>
      </c>
      <c r="E83" s="23">
        <v>822200.08913649025</v>
      </c>
      <c r="F83" s="13">
        <v>0</v>
      </c>
      <c r="G83" s="13">
        <v>272829000</v>
      </c>
      <c r="H83" s="1" t="s">
        <v>242</v>
      </c>
    </row>
    <row r="84" spans="1:8" x14ac:dyDescent="0.2">
      <c r="A84" s="1">
        <v>62146</v>
      </c>
      <c r="B84" s="1" t="s">
        <v>243</v>
      </c>
      <c r="C84" s="16">
        <v>1978</v>
      </c>
      <c r="D84" s="16">
        <v>19428319458</v>
      </c>
      <c r="E84" s="23">
        <v>9822203.9726996962</v>
      </c>
      <c r="F84" s="13">
        <v>-107183637</v>
      </c>
      <c r="G84" s="13">
        <v>2228557888</v>
      </c>
      <c r="H84" s="1" t="s">
        <v>245</v>
      </c>
    </row>
    <row r="85" spans="1:8" x14ac:dyDescent="0.2">
      <c r="A85" s="1">
        <v>62151</v>
      </c>
      <c r="B85" s="1" t="s">
        <v>246</v>
      </c>
      <c r="C85" s="16">
        <v>1978</v>
      </c>
      <c r="D85" s="16">
        <v>1152280318</v>
      </c>
      <c r="E85" s="23">
        <v>582548.18907987885</v>
      </c>
      <c r="F85" s="13">
        <v>-1</v>
      </c>
      <c r="G85" s="13">
        <v>51794412</v>
      </c>
      <c r="H85" s="1" t="s">
        <v>248</v>
      </c>
    </row>
    <row r="86" spans="1:8" x14ac:dyDescent="0.2">
      <c r="A86" s="1">
        <v>62256</v>
      </c>
      <c r="B86" s="1" t="s">
        <v>249</v>
      </c>
      <c r="C86" s="16">
        <v>1978</v>
      </c>
      <c r="D86" s="16">
        <v>362404966872</v>
      </c>
      <c r="E86" s="23">
        <v>183217880.1172902</v>
      </c>
      <c r="F86" s="13">
        <v>0</v>
      </c>
      <c r="G86" s="13">
        <v>7724609000</v>
      </c>
      <c r="H86" s="1" t="s">
        <v>434</v>
      </c>
    </row>
    <row r="87" spans="1:8" x14ac:dyDescent="0.2">
      <c r="A87" s="1">
        <v>62261</v>
      </c>
      <c r="B87" s="1" t="s">
        <v>251</v>
      </c>
      <c r="C87" s="16">
        <v>1978</v>
      </c>
      <c r="D87" s="16">
        <v>153816616350</v>
      </c>
      <c r="E87" s="23">
        <v>77763708.97371082</v>
      </c>
      <c r="F87" s="13">
        <v>0</v>
      </c>
      <c r="G87" s="13">
        <v>3561217208</v>
      </c>
      <c r="H87" s="1" t="s">
        <v>435</v>
      </c>
    </row>
    <row r="88" spans="1:8" x14ac:dyDescent="0.2">
      <c r="A88" s="1">
        <v>62266</v>
      </c>
      <c r="B88" s="1" t="s">
        <v>253</v>
      </c>
      <c r="C88" s="16">
        <v>1978</v>
      </c>
      <c r="D88" s="16">
        <v>59635756726</v>
      </c>
      <c r="E88" s="23">
        <v>30149523.117290195</v>
      </c>
      <c r="F88" s="13">
        <v>-52193339</v>
      </c>
      <c r="G88" s="13">
        <v>1270026729</v>
      </c>
      <c r="H88" s="1" t="s">
        <v>436</v>
      </c>
    </row>
    <row r="89" spans="1:8" x14ac:dyDescent="0.2">
      <c r="A89" s="1">
        <v>62268</v>
      </c>
      <c r="B89" s="1" t="s">
        <v>437</v>
      </c>
      <c r="C89" s="16">
        <v>1978</v>
      </c>
      <c r="D89" s="16">
        <v>21327910015</v>
      </c>
      <c r="E89" s="23">
        <v>10782563.20273003</v>
      </c>
      <c r="F89" s="13">
        <v>-300000</v>
      </c>
      <c r="G89" s="13">
        <v>285928000</v>
      </c>
      <c r="H89" s="1" t="s">
        <v>438</v>
      </c>
    </row>
    <row r="90" spans="1:8" x14ac:dyDescent="0.2">
      <c r="A90" s="1">
        <v>62271</v>
      </c>
      <c r="B90" s="1" t="s">
        <v>439</v>
      </c>
      <c r="C90" s="16">
        <v>1978</v>
      </c>
      <c r="D90" s="16">
        <v>20869393061</v>
      </c>
      <c r="E90" s="23">
        <v>10550754.833670376</v>
      </c>
      <c r="F90" s="13">
        <v>0</v>
      </c>
      <c r="G90" s="13">
        <v>517128000</v>
      </c>
      <c r="H90" s="1" t="s">
        <v>440</v>
      </c>
    </row>
    <row r="91" spans="1:8" x14ac:dyDescent="0.2">
      <c r="A91" s="1">
        <v>65088</v>
      </c>
      <c r="B91" s="1" t="s">
        <v>441</v>
      </c>
      <c r="C91" s="16">
        <v>1978</v>
      </c>
      <c r="D91" s="16">
        <v>7087483836</v>
      </c>
      <c r="E91" s="23">
        <v>3583156.6410515672</v>
      </c>
      <c r="F91" s="13">
        <v>-22666</v>
      </c>
      <c r="G91" s="13">
        <v>262205410</v>
      </c>
      <c r="H91" s="1" t="s">
        <v>255</v>
      </c>
    </row>
    <row r="92" spans="1:8" x14ac:dyDescent="0.2">
      <c r="A92" s="1">
        <v>62276</v>
      </c>
      <c r="B92" s="1" t="s">
        <v>442</v>
      </c>
      <c r="C92" s="16">
        <v>1978</v>
      </c>
      <c r="D92" s="16">
        <v>99667806884</v>
      </c>
      <c r="E92" s="23">
        <v>50388173.348837197</v>
      </c>
      <c r="F92" s="13">
        <v>-8707000</v>
      </c>
      <c r="G92" s="13">
        <v>2868531867</v>
      </c>
      <c r="H92" s="1" t="s">
        <v>443</v>
      </c>
    </row>
    <row r="93" spans="1:8" x14ac:dyDescent="0.2">
      <c r="A93" s="1">
        <v>67056</v>
      </c>
      <c r="B93" s="1" t="s">
        <v>411</v>
      </c>
      <c r="C93" s="16">
        <v>1422</v>
      </c>
      <c r="D93" s="16">
        <v>12215682529</v>
      </c>
      <c r="E93" s="23">
        <v>8590494.0428973269</v>
      </c>
      <c r="F93" s="13">
        <v>-106214344</v>
      </c>
      <c r="G93" s="13">
        <v>415536961</v>
      </c>
      <c r="H93" s="1" t="s">
        <v>444</v>
      </c>
    </row>
    <row r="94" spans="1:8" x14ac:dyDescent="0.2">
      <c r="A94" s="1">
        <v>67061</v>
      </c>
      <c r="B94" s="1" t="s">
        <v>413</v>
      </c>
      <c r="C94" s="16">
        <v>1422</v>
      </c>
      <c r="D94" s="16">
        <v>109272826536</v>
      </c>
      <c r="E94" s="23">
        <v>76844463.105485246</v>
      </c>
      <c r="F94" s="13">
        <v>-135921496</v>
      </c>
      <c r="G94" s="13">
        <v>7562051000</v>
      </c>
      <c r="H94" s="1" t="s">
        <v>445</v>
      </c>
    </row>
    <row r="95" spans="1:8" x14ac:dyDescent="0.2">
      <c r="A95" s="1">
        <v>67066</v>
      </c>
      <c r="B95" s="1" t="s">
        <v>415</v>
      </c>
      <c r="C95" s="16">
        <v>1422</v>
      </c>
      <c r="D95" s="16">
        <v>5952837369</v>
      </c>
      <c r="E95" s="23">
        <v>4186242.8755274257</v>
      </c>
      <c r="F95" s="13">
        <v>-4740488</v>
      </c>
      <c r="G95" s="13">
        <v>523426000</v>
      </c>
      <c r="H95" s="1" t="s">
        <v>417</v>
      </c>
    </row>
    <row r="96" spans="1:8" x14ac:dyDescent="0.2">
      <c r="A96" s="1">
        <v>67071</v>
      </c>
      <c r="B96" s="1" t="s">
        <v>418</v>
      </c>
      <c r="C96" s="16">
        <v>1422</v>
      </c>
      <c r="D96" s="16">
        <v>29501248225</v>
      </c>
      <c r="E96" s="23">
        <v>20746306.768635724</v>
      </c>
      <c r="F96" s="13">
        <v>-144426323</v>
      </c>
      <c r="G96" s="13">
        <v>1181081781</v>
      </c>
      <c r="H96" s="1" t="s">
        <v>420</v>
      </c>
    </row>
    <row r="97" spans="1:8" x14ac:dyDescent="0.2">
      <c r="A97" s="1">
        <v>62321</v>
      </c>
      <c r="B97" s="1" t="s">
        <v>274</v>
      </c>
      <c r="C97" s="16">
        <v>1914</v>
      </c>
      <c r="D97" s="16">
        <v>18301995838</v>
      </c>
      <c r="E97" s="23">
        <v>9562171.2842215281</v>
      </c>
      <c r="F97" s="13">
        <v>0</v>
      </c>
      <c r="G97" s="13">
        <v>124044962</v>
      </c>
      <c r="H97" s="1" t="s">
        <v>276</v>
      </c>
    </row>
    <row r="98" spans="1:8" x14ac:dyDescent="0.2">
      <c r="A98" s="1">
        <v>62326</v>
      </c>
      <c r="B98" s="1" t="s">
        <v>277</v>
      </c>
      <c r="C98" s="16">
        <v>1914</v>
      </c>
      <c r="D98" s="16">
        <v>1332842256</v>
      </c>
      <c r="E98" s="23">
        <v>696364.81504702196</v>
      </c>
      <c r="F98" s="13">
        <v>0</v>
      </c>
      <c r="G98" s="13">
        <v>73172000</v>
      </c>
      <c r="H98" s="1" t="s">
        <v>279</v>
      </c>
    </row>
    <row r="99" spans="1:8" x14ac:dyDescent="0.2">
      <c r="A99" s="1">
        <v>62331</v>
      </c>
      <c r="B99" s="1" t="s">
        <v>280</v>
      </c>
      <c r="C99" s="16">
        <v>1914</v>
      </c>
      <c r="D99" s="16">
        <v>7154377860</v>
      </c>
      <c r="E99" s="23">
        <v>3737919.4670846402</v>
      </c>
      <c r="F99" s="13">
        <v>0</v>
      </c>
      <c r="G99" s="13">
        <v>337505857</v>
      </c>
      <c r="H99" s="1" t="s">
        <v>282</v>
      </c>
    </row>
    <row r="100" spans="1:8" x14ac:dyDescent="0.2">
      <c r="A100" s="1">
        <v>62336</v>
      </c>
      <c r="B100" s="1" t="s">
        <v>283</v>
      </c>
      <c r="C100" s="16">
        <v>1914</v>
      </c>
      <c r="D100" s="16">
        <v>175406405</v>
      </c>
      <c r="E100" s="23">
        <v>91643.889759665617</v>
      </c>
      <c r="F100" s="13">
        <v>0</v>
      </c>
      <c r="G100" s="13">
        <v>29069751</v>
      </c>
      <c r="H100" s="1" t="s">
        <v>285</v>
      </c>
    </row>
    <row r="101" spans="1:8" x14ac:dyDescent="0.2">
      <c r="A101" s="1">
        <v>62341</v>
      </c>
      <c r="B101" s="1" t="s">
        <v>286</v>
      </c>
      <c r="C101" s="16">
        <v>1914</v>
      </c>
      <c r="D101" s="16">
        <v>3634410654</v>
      </c>
      <c r="E101" s="23">
        <v>1898856.1410658304</v>
      </c>
      <c r="F101" s="13">
        <v>0</v>
      </c>
      <c r="G101" s="13">
        <v>137352812</v>
      </c>
      <c r="H101" s="1" t="s">
        <v>288</v>
      </c>
    </row>
    <row r="102" spans="1:8" x14ac:dyDescent="0.2">
      <c r="A102" s="1">
        <v>62346</v>
      </c>
      <c r="B102" s="1" t="s">
        <v>289</v>
      </c>
      <c r="C102" s="16">
        <v>1914</v>
      </c>
      <c r="D102" s="16">
        <v>14612897810</v>
      </c>
      <c r="E102" s="23">
        <v>7634742.8474399187</v>
      </c>
      <c r="F102" s="13">
        <v>0</v>
      </c>
      <c r="G102" s="13">
        <v>371374000</v>
      </c>
      <c r="H102" s="1" t="s">
        <v>291</v>
      </c>
    </row>
    <row r="103" spans="1:8" x14ac:dyDescent="0.2">
      <c r="A103" s="1">
        <v>62351</v>
      </c>
      <c r="B103" s="1" t="s">
        <v>292</v>
      </c>
      <c r="C103" s="16">
        <v>1914</v>
      </c>
      <c r="D103" s="16">
        <v>45211930823</v>
      </c>
      <c r="E103" s="23">
        <v>23621698.444618601</v>
      </c>
      <c r="F103" s="13">
        <v>0</v>
      </c>
      <c r="G103" s="13">
        <v>537113000</v>
      </c>
      <c r="H103" s="1" t="s">
        <v>294</v>
      </c>
    </row>
    <row r="104" spans="1:8" x14ac:dyDescent="0.2">
      <c r="A104" s="1">
        <v>62356</v>
      </c>
      <c r="B104" s="1" t="s">
        <v>295</v>
      </c>
      <c r="C104" s="16">
        <v>1914</v>
      </c>
      <c r="D104" s="16">
        <v>27336332905</v>
      </c>
      <c r="E104" s="23">
        <v>14282305.592998955</v>
      </c>
      <c r="F104" s="13">
        <v>0</v>
      </c>
      <c r="G104" s="13">
        <v>334623000</v>
      </c>
      <c r="H104" s="1" t="s">
        <v>297</v>
      </c>
    </row>
    <row r="105" spans="1:8" x14ac:dyDescent="0.2">
      <c r="A105" s="1">
        <v>62361</v>
      </c>
      <c r="B105" s="1" t="s">
        <v>298</v>
      </c>
      <c r="C105" s="16">
        <v>1914</v>
      </c>
      <c r="D105" s="16">
        <v>2325567973</v>
      </c>
      <c r="E105" s="23">
        <v>1215030.2889237199</v>
      </c>
      <c r="F105" s="13">
        <v>0</v>
      </c>
      <c r="G105" s="13">
        <v>41020488</v>
      </c>
      <c r="H105" s="1" t="s">
        <v>300</v>
      </c>
    </row>
    <row r="106" spans="1:8" x14ac:dyDescent="0.2">
      <c r="A106" s="1">
        <v>62366</v>
      </c>
      <c r="B106" s="1" t="s">
        <v>301</v>
      </c>
      <c r="C106" s="16">
        <v>1914</v>
      </c>
      <c r="D106" s="16">
        <v>29661900878</v>
      </c>
      <c r="E106" s="23">
        <v>15497335.881922675</v>
      </c>
      <c r="F106" s="13">
        <v>0</v>
      </c>
      <c r="G106" s="13">
        <v>355135000</v>
      </c>
      <c r="H106" s="1" t="s">
        <v>303</v>
      </c>
    </row>
    <row r="107" spans="1:8" x14ac:dyDescent="0.2">
      <c r="A107" s="1">
        <v>62371</v>
      </c>
      <c r="B107" s="1" t="s">
        <v>304</v>
      </c>
      <c r="C107" s="16">
        <v>1914</v>
      </c>
      <c r="D107" s="16">
        <v>15550029945</v>
      </c>
      <c r="E107" s="23">
        <v>8124362.5626959233</v>
      </c>
      <c r="F107" s="13">
        <v>0</v>
      </c>
      <c r="G107" s="13">
        <v>207954452</v>
      </c>
      <c r="H107" s="1" t="s">
        <v>306</v>
      </c>
    </row>
    <row r="108" spans="1:8" x14ac:dyDescent="0.2">
      <c r="A108" s="1">
        <v>62311</v>
      </c>
      <c r="B108" s="1" t="s">
        <v>309</v>
      </c>
      <c r="C108" s="16">
        <v>1298</v>
      </c>
      <c r="D108" s="16">
        <v>164852021219</v>
      </c>
      <c r="E108" s="23">
        <v>127004638.8436055</v>
      </c>
      <c r="F108" s="13">
        <v>3</v>
      </c>
      <c r="G108" s="13">
        <v>23861770561</v>
      </c>
      <c r="H108" s="1" t="s">
        <v>311</v>
      </c>
    </row>
    <row r="109" spans="1:8" x14ac:dyDescent="0.2">
      <c r="A109" s="1">
        <v>62316</v>
      </c>
      <c r="B109" s="1" t="s">
        <v>312</v>
      </c>
      <c r="C109" s="16">
        <v>1298</v>
      </c>
      <c r="D109" s="16">
        <v>182935363076</v>
      </c>
      <c r="E109" s="23">
        <v>140936335.18952239</v>
      </c>
      <c r="F109" s="13">
        <v>0</v>
      </c>
      <c r="G109" s="13">
        <v>25947841897</v>
      </c>
      <c r="H109" s="1" t="s">
        <v>314</v>
      </c>
    </row>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2.75" x14ac:dyDescent="0.2"/>
  <cols>
    <col min="1" max="1" width="11.5703125" style="1" customWidth="1"/>
    <col min="2" max="2" width="36.5703125" style="1" customWidth="1"/>
    <col min="3" max="16384" width="9.140625" style="1"/>
  </cols>
  <sheetData>
    <row r="1" spans="1:2" x14ac:dyDescent="0.2">
      <c r="A1" s="1" t="s">
        <v>345</v>
      </c>
    </row>
    <row r="2" spans="1:2" x14ac:dyDescent="0.2">
      <c r="A2" s="1" t="s">
        <v>346</v>
      </c>
      <c r="B2" s="1" t="s">
        <v>347</v>
      </c>
    </row>
    <row r="3" spans="1:2" x14ac:dyDescent="0.2">
      <c r="A3" s="1" t="s">
        <v>348</v>
      </c>
      <c r="B3" s="1" t="s">
        <v>349</v>
      </c>
    </row>
    <row r="4" spans="1:2" x14ac:dyDescent="0.2">
      <c r="A4" s="1" t="s">
        <v>350</v>
      </c>
      <c r="B4" s="1" t="s">
        <v>351</v>
      </c>
    </row>
    <row r="5" spans="1:2" x14ac:dyDescent="0.2">
      <c r="A5" s="1" t="s">
        <v>352</v>
      </c>
      <c r="B5" s="1" t="s">
        <v>353</v>
      </c>
    </row>
    <row r="6" spans="1:2" x14ac:dyDescent="0.2">
      <c r="A6" s="1" t="s">
        <v>354</v>
      </c>
      <c r="B6" s="1" t="s">
        <v>355</v>
      </c>
    </row>
    <row r="7" spans="1:2" x14ac:dyDescent="0.2">
      <c r="A7" s="1" t="s">
        <v>356</v>
      </c>
      <c r="B7" s="1" t="s">
        <v>357</v>
      </c>
    </row>
    <row r="8" spans="1:2" x14ac:dyDescent="0.2">
      <c r="A8" s="1" t="s">
        <v>358</v>
      </c>
      <c r="B8" s="1" t="s">
        <v>359</v>
      </c>
    </row>
    <row r="9" spans="1:2" x14ac:dyDescent="0.2">
      <c r="A9" s="1" t="s">
        <v>360</v>
      </c>
      <c r="B9" s="1" t="s">
        <v>361</v>
      </c>
    </row>
    <row r="10" spans="1:2" x14ac:dyDescent="0.2">
      <c r="A10" s="1" t="s">
        <v>362</v>
      </c>
      <c r="B10" s="1" t="s">
        <v>363</v>
      </c>
    </row>
    <row r="11" spans="1:2" x14ac:dyDescent="0.2">
      <c r="A11" s="1" t="s">
        <v>364</v>
      </c>
      <c r="B11" s="1" t="s">
        <v>365</v>
      </c>
    </row>
    <row r="12" spans="1:2" x14ac:dyDescent="0.2">
      <c r="A12" s="1" t="s">
        <v>19</v>
      </c>
      <c r="B12" s="1" t="s">
        <v>366</v>
      </c>
    </row>
    <row r="13" spans="1:2" x14ac:dyDescent="0.2">
      <c r="A13" s="1" t="s">
        <v>367</v>
      </c>
      <c r="B13" s="1" t="s">
        <v>368</v>
      </c>
    </row>
    <row r="14" spans="1:2" x14ac:dyDescent="0.2">
      <c r="A14" s="1" t="s">
        <v>369</v>
      </c>
      <c r="B14" s="1" t="s">
        <v>370</v>
      </c>
    </row>
    <row r="15" spans="1:2" x14ac:dyDescent="0.2">
      <c r="A15" s="1" t="s">
        <v>371</v>
      </c>
      <c r="B15" s="1" t="s">
        <v>372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values</vt:lpstr>
      <vt:lpstr>Description</vt:lpstr>
      <vt:lpstr>Frequencies</vt:lpstr>
      <vt:lpstr>FrequenciesRV</vt:lpstr>
      <vt:lpstr>Statistics</vt:lpstr>
      <vt:lpstr>StatisticsRV</vt:lpstr>
      <vt:lpstr>varlist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 Jie (Contractor)</dc:creator>
  <cp:lastModifiedBy>ersbarbett</cp:lastModifiedBy>
  <dcterms:created xsi:type="dcterms:W3CDTF">2015-09-25T17:41:13Z</dcterms:created>
  <dcterms:modified xsi:type="dcterms:W3CDTF">2019-10-07T10:35:45Z</dcterms:modified>
</cp:coreProperties>
</file>